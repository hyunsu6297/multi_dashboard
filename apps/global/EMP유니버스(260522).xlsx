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nfomax\Documents\Codex\글로벌 회사\"/>
    </mc:Choice>
  </mc:AlternateContent>
  <xr:revisionPtr revIDLastSave="0" documentId="13_ncr:1_{39A5B0F5-A81B-4526-82BC-61024AD2B159}" xr6:coauthVersionLast="36" xr6:coauthVersionMax="47" xr10:uidLastSave="{00000000-0000-0000-0000-000000000000}"/>
  <bookViews>
    <workbookView xWindow="-120" yWindow="-120" windowWidth="29040" windowHeight="15720" xr2:uid="{723F3373-2CF6-4B98-A262-94157F69DF2F}"/>
  </bookViews>
  <sheets>
    <sheet name="Sheet1" sheetId="1" r:id="rId1"/>
    <sheet name="Sheet3" sheetId="3" r:id="rId2"/>
    <sheet name="Sheet2" sheetId="2" r:id="rId3"/>
    <sheet name="후보" sheetId="4" r:id="rId4"/>
  </sheets>
  <definedNames>
    <definedName name="_xlnm._FilterDatabase" localSheetId="1" hidden="1">Sheet3!$A$1:$F$40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41" i="1" l="1"/>
  <c r="BC40" i="1"/>
  <c r="BU57" i="1"/>
  <c r="AL22" i="1"/>
  <c r="AL21" i="1"/>
  <c r="AL25" i="1"/>
  <c r="AL18" i="1"/>
  <c r="T64" i="1"/>
  <c r="BC39" i="1"/>
  <c r="BU21" i="1"/>
  <c r="AL62" i="1"/>
  <c r="I10" i="4"/>
  <c r="BC64" i="1"/>
  <c r="BC43" i="1"/>
  <c r="T54" i="1"/>
  <c r="AL20" i="1"/>
  <c r="AL29" i="1"/>
  <c r="BU56" i="1"/>
  <c r="AL6" i="1"/>
  <c r="T63" i="1"/>
  <c r="BU67" i="1"/>
  <c r="BC8" i="1"/>
  <c r="AL14" i="1"/>
  <c r="T8" i="1"/>
  <c r="BU16" i="1"/>
  <c r="BU65" i="1"/>
  <c r="BC38" i="1"/>
  <c r="T44" i="1"/>
  <c r="I11" i="4"/>
  <c r="BC37" i="1"/>
  <c r="I14" i="4"/>
  <c r="T15" i="1"/>
  <c r="BC46" i="1"/>
  <c r="T17" i="1"/>
  <c r="BU8" i="1"/>
  <c r="T21" i="1"/>
  <c r="AL48" i="1"/>
  <c r="AL23" i="1"/>
  <c r="BU44" i="1"/>
  <c r="AL61" i="1"/>
  <c r="T13" i="1"/>
  <c r="AK27" i="1"/>
  <c r="AD68" i="1"/>
  <c r="AU44" i="1"/>
  <c r="BB37" i="1"/>
  <c r="AK68" i="1"/>
  <c r="BB44" i="1"/>
  <c r="AD27" i="1"/>
  <c r="BT14" i="1"/>
  <c r="BM44" i="1"/>
  <c r="BM20" i="1"/>
  <c r="BN56" i="1"/>
  <c r="AE12" i="1"/>
  <c r="BT11" i="1"/>
  <c r="BN44" i="1"/>
  <c r="BM14" i="1"/>
  <c r="AD12" i="1"/>
  <c r="BM11" i="1"/>
  <c r="AU37" i="1"/>
  <c r="BT20" i="1"/>
  <c r="BN14" i="1"/>
  <c r="BM56" i="1"/>
  <c r="AV44" i="1"/>
  <c r="AK12" i="1"/>
  <c r="BN11" i="1"/>
  <c r="AV37" i="1"/>
  <c r="BN20" i="1"/>
  <c r="AE27" i="1"/>
  <c r="BT56" i="1"/>
  <c r="AE68" i="1"/>
  <c r="BT44" i="1"/>
  <c r="AL16" i="1"/>
  <c r="BC67" i="1"/>
  <c r="BU43" i="1"/>
  <c r="BU12" i="1"/>
  <c r="BU14" i="1"/>
  <c r="BU59" i="1"/>
  <c r="AL52" i="1"/>
  <c r="AL33" i="1"/>
  <c r="BU22" i="1"/>
  <c r="BU23" i="1"/>
  <c r="S14" i="1"/>
  <c r="AE16" i="1"/>
  <c r="BB39" i="1"/>
  <c r="BN16" i="1"/>
  <c r="M52" i="1"/>
  <c r="BT6" i="1"/>
  <c r="AU39" i="1"/>
  <c r="S44" i="1"/>
  <c r="BM6" i="1"/>
  <c r="L52" i="1"/>
  <c r="AK16" i="1"/>
  <c r="AD20" i="1"/>
  <c r="AU45" i="1"/>
  <c r="L44" i="1"/>
  <c r="BM16" i="1"/>
  <c r="BB45" i="1"/>
  <c r="BM51" i="1"/>
  <c r="L14" i="1"/>
  <c r="BT51" i="1"/>
  <c r="M14" i="1"/>
  <c r="BT16" i="1"/>
  <c r="AV39" i="1"/>
  <c r="AD16" i="1"/>
  <c r="S52" i="1"/>
  <c r="AE20" i="1"/>
  <c r="BN6" i="1"/>
  <c r="AV45" i="1"/>
  <c r="M44" i="1"/>
  <c r="BN51" i="1"/>
  <c r="AK20" i="1"/>
  <c r="BU68" i="1"/>
  <c r="BU54" i="1"/>
  <c r="AL47" i="1"/>
  <c r="T14" i="1"/>
  <c r="BC10" i="1"/>
  <c r="T56" i="1"/>
  <c r="BC54" i="1"/>
  <c r="BU55" i="1"/>
  <c r="AL17" i="1"/>
  <c r="BU20" i="1"/>
  <c r="M18" i="1"/>
  <c r="AE6" i="1"/>
  <c r="AK48" i="1"/>
  <c r="S56" i="1"/>
  <c r="BN34" i="1"/>
  <c r="AD33" i="1"/>
  <c r="AK33" i="1"/>
  <c r="BT34" i="1"/>
  <c r="BB43" i="1"/>
  <c r="AD48" i="1"/>
  <c r="M56" i="1"/>
  <c r="L67" i="1"/>
  <c r="AK32" i="1"/>
  <c r="AK6" i="1"/>
  <c r="AE19" i="1"/>
  <c r="S18" i="1"/>
  <c r="AD19" i="1"/>
  <c r="M67" i="1"/>
  <c r="AU43" i="1"/>
  <c r="L18" i="1"/>
  <c r="BM34" i="1"/>
  <c r="L56" i="1"/>
  <c r="AE48" i="1"/>
  <c r="AD32" i="1"/>
  <c r="S67" i="1"/>
  <c r="AE33" i="1"/>
  <c r="AK19" i="1"/>
  <c r="AV43" i="1"/>
  <c r="AD6" i="1"/>
  <c r="AE32" i="1"/>
  <c r="AV46" i="1"/>
  <c r="BM12" i="1"/>
  <c r="AV40" i="1"/>
  <c r="AV8" i="1"/>
  <c r="AU8" i="1"/>
  <c r="BT8" i="1"/>
  <c r="AD14" i="1"/>
  <c r="BN8" i="1"/>
  <c r="BT12" i="1"/>
  <c r="BN19" i="1"/>
  <c r="BT48" i="1"/>
  <c r="BM19" i="1"/>
  <c r="L15" i="1"/>
  <c r="S15" i="1"/>
  <c r="BN48" i="1"/>
  <c r="AU46" i="1"/>
  <c r="BB40" i="1"/>
  <c r="AE14" i="1"/>
  <c r="BN55" i="1"/>
  <c r="BT55" i="1"/>
  <c r="BM48" i="1"/>
  <c r="M15" i="1"/>
  <c r="BM8" i="1"/>
  <c r="BB8" i="1"/>
  <c r="BN12" i="1"/>
  <c r="AK14" i="1"/>
  <c r="BT19" i="1"/>
  <c r="BM55" i="1"/>
  <c r="AU40" i="1"/>
  <c r="BB46" i="1"/>
  <c r="BB68" i="1"/>
  <c r="AE54" i="1"/>
  <c r="BT67" i="1"/>
  <c r="AE26" i="1"/>
  <c r="AU68" i="1"/>
  <c r="AK29" i="1"/>
  <c r="AE18" i="1"/>
  <c r="AK18" i="1"/>
  <c r="AE23" i="1"/>
  <c r="BN43" i="1"/>
  <c r="AD35" i="1"/>
  <c r="AD15" i="1"/>
  <c r="AK15" i="1"/>
  <c r="AK35" i="1"/>
  <c r="AD29" i="1"/>
  <c r="AD23" i="1"/>
  <c r="BT43" i="1"/>
  <c r="AD54" i="1"/>
  <c r="BM67" i="1"/>
  <c r="AV68" i="1"/>
  <c r="BM43" i="1"/>
  <c r="AD18" i="1"/>
  <c r="AD26" i="1"/>
  <c r="AK26" i="1"/>
  <c r="AE29" i="1"/>
  <c r="AK23" i="1"/>
  <c r="AE15" i="1"/>
  <c r="BN67" i="1"/>
  <c r="AE35" i="1"/>
  <c r="AK54" i="1"/>
  <c r="AK17" i="1"/>
  <c r="AD25" i="1"/>
  <c r="BN18" i="1"/>
  <c r="BN15" i="1"/>
  <c r="BT18" i="1"/>
  <c r="BM21" i="1"/>
  <c r="L17" i="1"/>
  <c r="AD22" i="1"/>
  <c r="BT54" i="1"/>
  <c r="M17" i="1"/>
  <c r="AK36" i="1"/>
  <c r="BN54" i="1"/>
  <c r="AE25" i="1"/>
  <c r="AK22" i="1"/>
  <c r="BM15" i="1"/>
  <c r="AD17" i="1"/>
  <c r="BN21" i="1"/>
  <c r="AD36" i="1"/>
  <c r="BM54" i="1"/>
  <c r="AE52" i="1"/>
  <c r="AE36" i="1"/>
  <c r="AK25" i="1"/>
  <c r="AE17" i="1"/>
  <c r="BT21" i="1"/>
  <c r="AD52" i="1"/>
  <c r="AE22" i="1"/>
  <c r="S17" i="1"/>
  <c r="BM18" i="1"/>
  <c r="BT15" i="1"/>
  <c r="AK52" i="1"/>
  <c r="AV11" i="1"/>
  <c r="M8" i="1"/>
  <c r="S43" i="1"/>
  <c r="AK49" i="1"/>
  <c r="AV6" i="1"/>
  <c r="S19" i="1"/>
  <c r="S16" i="1"/>
  <c r="M16" i="1"/>
  <c r="AD63" i="1"/>
  <c r="AE63" i="1"/>
  <c r="S8" i="1"/>
  <c r="AD49" i="1"/>
  <c r="AU11" i="1"/>
  <c r="M63" i="1"/>
  <c r="M43" i="1"/>
  <c r="AU56" i="1"/>
  <c r="AV56" i="1"/>
  <c r="AU6" i="1"/>
  <c r="L63" i="1"/>
  <c r="BB6" i="1"/>
  <c r="M19" i="1"/>
  <c r="L8" i="1"/>
  <c r="BB56" i="1"/>
  <c r="L16" i="1"/>
  <c r="AK63" i="1"/>
  <c r="BB11" i="1"/>
  <c r="L19" i="1"/>
  <c r="AE49" i="1"/>
  <c r="S63" i="1"/>
  <c r="L43" i="1"/>
  <c r="AL26" i="1"/>
  <c r="T6" i="1"/>
  <c r="BC11" i="1"/>
  <c r="BU11" i="1"/>
  <c r="BU51" i="1"/>
  <c r="T16" i="1"/>
  <c r="T18" i="1"/>
  <c r="AL64" i="1"/>
  <c r="T62" i="1"/>
  <c r="AL30" i="1"/>
  <c r="I9" i="4"/>
  <c r="BU9" i="1"/>
  <c r="AL34" i="1"/>
  <c r="BU18" i="1"/>
  <c r="AL32" i="1"/>
  <c r="AL24" i="1"/>
  <c r="AL46" i="1"/>
  <c r="AL31" i="1"/>
  <c r="T43" i="1"/>
  <c r="BU15" i="1"/>
  <c r="BN22" i="1"/>
  <c r="M64" i="1"/>
  <c r="BM52" i="1"/>
  <c r="AK24" i="1"/>
  <c r="L21" i="1"/>
  <c r="BM22" i="1"/>
  <c r="M13" i="1"/>
  <c r="M21" i="1"/>
  <c r="AK64" i="1"/>
  <c r="AK21" i="1"/>
  <c r="AK62" i="1"/>
  <c r="S64" i="1"/>
  <c r="AK56" i="1"/>
  <c r="AD62" i="1"/>
  <c r="BN52" i="1"/>
  <c r="AE21" i="1"/>
  <c r="AD24" i="1"/>
  <c r="S13" i="1"/>
  <c r="AE64" i="1"/>
  <c r="AD56" i="1"/>
  <c r="AD64" i="1"/>
  <c r="AE56" i="1"/>
  <c r="S21" i="1"/>
  <c r="AD21" i="1"/>
  <c r="L13" i="1"/>
  <c r="BC45" i="1"/>
  <c r="AL15" i="1"/>
  <c r="AL19" i="1"/>
  <c r="L64" i="1"/>
  <c r="BT22" i="1"/>
  <c r="AE24" i="1"/>
  <c r="BT52" i="1"/>
  <c r="AL66" i="1"/>
  <c r="AE62" i="1"/>
  <c r="AL13" i="1"/>
  <c r="T61" i="1"/>
  <c r="AL49" i="1"/>
  <c r="AL12" i="1"/>
  <c r="AL27" i="1"/>
  <c r="BC68" i="1"/>
  <c r="S20" i="1"/>
  <c r="M61" i="1"/>
  <c r="L20" i="1"/>
  <c r="AU41" i="1"/>
  <c r="AE47" i="1"/>
  <c r="AK30" i="1"/>
  <c r="BB38" i="1"/>
  <c r="AU42" i="1"/>
  <c r="BN68" i="1"/>
  <c r="L61" i="1"/>
  <c r="BT68" i="1"/>
  <c r="BB42" i="1"/>
  <c r="BM59" i="1"/>
  <c r="BN59" i="1"/>
  <c r="AK47" i="1"/>
  <c r="BT57" i="1"/>
  <c r="AU38" i="1"/>
  <c r="AD30" i="1"/>
  <c r="BB41" i="1"/>
  <c r="BT59" i="1"/>
  <c r="BM68" i="1"/>
  <c r="M20" i="1"/>
  <c r="AV42" i="1"/>
  <c r="S61" i="1"/>
  <c r="AV41" i="1"/>
  <c r="AV38" i="1"/>
  <c r="AD47" i="1"/>
  <c r="BM57" i="1"/>
  <c r="AE30" i="1"/>
  <c r="BN57" i="1"/>
  <c r="AL63" i="1"/>
  <c r="AL68" i="1"/>
  <c r="BC6" i="1"/>
  <c r="BU17" i="1"/>
  <c r="BC42" i="1"/>
  <c r="T67" i="1"/>
  <c r="AL36" i="1"/>
  <c r="BU34" i="1"/>
  <c r="BC56" i="1"/>
  <c r="I13" i="4"/>
  <c r="AL56" i="1"/>
  <c r="AL54" i="1"/>
  <c r="BU52" i="1"/>
  <c r="T68" i="1"/>
  <c r="BU19" i="1"/>
  <c r="T52" i="1"/>
  <c r="BU6" i="1"/>
  <c r="AL35" i="1"/>
  <c r="BU13" i="1"/>
  <c r="I12" i="4"/>
  <c r="T19" i="1"/>
  <c r="BU48" i="1"/>
  <c r="BC44" i="1"/>
  <c r="T20" i="1"/>
  <c r="AE46" i="1"/>
  <c r="AK13" i="1"/>
  <c r="BM9" i="1"/>
  <c r="AV67" i="1"/>
  <c r="AE66" i="1"/>
  <c r="AK46" i="1"/>
  <c r="BB10" i="1"/>
  <c r="BN13" i="1"/>
  <c r="AE34" i="1"/>
  <c r="AD66" i="1"/>
  <c r="BT13" i="1"/>
  <c r="AK34" i="1"/>
  <c r="BN65" i="1"/>
  <c r="AU10" i="1"/>
  <c r="AE13" i="1"/>
  <c r="BN9" i="1"/>
  <c r="AK61" i="1"/>
  <c r="BT65" i="1"/>
  <c r="AU67" i="1"/>
  <c r="AD61" i="1"/>
  <c r="BM65" i="1"/>
  <c r="AV10" i="1"/>
  <c r="AE61" i="1"/>
  <c r="BM13" i="1"/>
  <c r="AD13" i="1"/>
  <c r="AD46" i="1"/>
  <c r="AD34" i="1"/>
  <c r="BT9" i="1"/>
  <c r="AK66" i="1"/>
  <c r="BB67" i="1"/>
  <c r="H21" i="4"/>
  <c r="BT23" i="1"/>
  <c r="I22" i="4"/>
  <c r="H25" i="4"/>
  <c r="S54" i="1"/>
  <c r="H24" i="4"/>
  <c r="S62" i="1"/>
  <c r="M54" i="1"/>
  <c r="I25" i="4"/>
  <c r="M6" i="1"/>
  <c r="H22" i="4"/>
  <c r="S6" i="1"/>
  <c r="L54" i="1"/>
  <c r="L62" i="1"/>
  <c r="L6" i="1"/>
  <c r="M62" i="1"/>
  <c r="BN23" i="1"/>
  <c r="I24" i="4"/>
  <c r="BM23" i="1"/>
  <c r="I21" i="4"/>
  <c r="H14" i="4"/>
  <c r="J12" i="4"/>
  <c r="H12" i="4"/>
  <c r="H13" i="4"/>
  <c r="J11" i="4"/>
  <c r="J14" i="4"/>
  <c r="H9" i="4"/>
  <c r="H11" i="4"/>
  <c r="J13" i="4"/>
  <c r="J9" i="4"/>
  <c r="AK31" i="1"/>
  <c r="M68" i="1"/>
  <c r="BN17" i="1"/>
  <c r="BT17" i="1"/>
  <c r="AE31" i="1"/>
  <c r="AD31" i="1"/>
  <c r="BM17" i="1"/>
  <c r="S68" i="1"/>
  <c r="L68" i="1"/>
  <c r="I26" i="4"/>
  <c r="H26" i="4"/>
  <c r="I23" i="4"/>
  <c r="H23" i="4"/>
  <c r="AU54" i="1"/>
  <c r="AV54" i="1"/>
  <c r="J10" i="4"/>
  <c r="H10" i="4"/>
  <c r="BB64" i="1"/>
  <c r="AU64" i="1"/>
  <c r="AV64" i="1"/>
  <c r="BU50" i="1"/>
  <c r="BT63" i="1"/>
  <c r="BT29" i="1"/>
  <c r="BU53" i="1"/>
  <c r="BU49" i="1"/>
  <c r="BT53" i="1"/>
  <c r="BU60" i="1"/>
  <c r="AL28" i="1"/>
  <c r="BU63" i="1"/>
  <c r="BU30" i="1"/>
  <c r="BU66" i="1"/>
  <c r="BT7" i="1"/>
  <c r="BT30" i="1"/>
  <c r="BT47" i="1"/>
  <c r="BU7" i="1"/>
  <c r="BT60" i="1"/>
  <c r="BU47" i="1"/>
  <c r="BT66" i="1"/>
  <c r="BT50" i="1"/>
  <c r="AK28" i="1"/>
  <c r="BU29" i="1"/>
  <c r="BT49" i="1"/>
  <c r="A5" i="1" l="1"/>
  <c r="BQ7" i="1"/>
  <c r="BM7" i="1"/>
  <c r="BN7" i="1"/>
  <c r="BO7" i="1" l="1"/>
  <c r="BG7" i="1"/>
  <c r="BI7" i="1" s="1"/>
  <c r="BQ66" i="1"/>
  <c r="BQ63" i="1"/>
  <c r="BQ60" i="1"/>
  <c r="BQ53" i="1"/>
  <c r="BQ50" i="1"/>
  <c r="BQ49" i="1"/>
  <c r="BQ47" i="1"/>
  <c r="BN49" i="1"/>
  <c r="BN47" i="1"/>
  <c r="BN30" i="1"/>
  <c r="BM30" i="1"/>
  <c r="BM29" i="1"/>
  <c r="BM66" i="1"/>
  <c r="BN63" i="1"/>
  <c r="BM60" i="1"/>
  <c r="BM53" i="1"/>
  <c r="BN50" i="1"/>
  <c r="BM47" i="1"/>
  <c r="BN66" i="1"/>
  <c r="BM63" i="1"/>
  <c r="BN60" i="1"/>
  <c r="BN53" i="1"/>
  <c r="BM50" i="1"/>
  <c r="BM49" i="1"/>
  <c r="BJ7" i="1" l="1"/>
  <c r="BK7" i="1" s="1"/>
  <c r="BH7" i="1"/>
  <c r="BR7" i="1"/>
  <c r="BP7" i="1"/>
  <c r="BO66" i="1"/>
  <c r="BG66" i="1"/>
  <c r="BI66" i="1" s="1"/>
  <c r="BO63" i="1"/>
  <c r="BG63" i="1"/>
  <c r="BI63" i="1" s="1"/>
  <c r="BG60" i="1"/>
  <c r="BI60" i="1" s="1"/>
  <c r="BO60" i="1"/>
  <c r="BO53" i="1"/>
  <c r="BG53" i="1"/>
  <c r="BI53" i="1" s="1"/>
  <c r="BO50" i="1"/>
  <c r="BG50" i="1"/>
  <c r="BI50" i="1" s="1"/>
  <c r="BO49" i="1"/>
  <c r="BG49" i="1"/>
  <c r="BI49" i="1" s="1"/>
  <c r="BO47" i="1"/>
  <c r="BG47" i="1"/>
  <c r="BI47" i="1" s="1"/>
  <c r="BO30" i="1"/>
  <c r="BR30" i="1" s="1"/>
  <c r="BG30" i="1"/>
  <c r="BQ30" i="1"/>
  <c r="BN29" i="1"/>
  <c r="BJ66" i="1" l="1"/>
  <c r="BK66" i="1" s="1"/>
  <c r="BH66" i="1"/>
  <c r="BR66" i="1"/>
  <c r="BP66" i="1"/>
  <c r="BH63" i="1"/>
  <c r="BJ63" i="1"/>
  <c r="BK63" i="1" s="1"/>
  <c r="BP63" i="1"/>
  <c r="BR63" i="1"/>
  <c r="BR60" i="1"/>
  <c r="BP60" i="1"/>
  <c r="BJ60" i="1"/>
  <c r="BK60" i="1" s="1"/>
  <c r="BH60" i="1"/>
  <c r="BJ53" i="1"/>
  <c r="BK53" i="1" s="1"/>
  <c r="BH53" i="1"/>
  <c r="BR53" i="1"/>
  <c r="BP53" i="1"/>
  <c r="BH50" i="1"/>
  <c r="BJ50" i="1"/>
  <c r="BK50" i="1" s="1"/>
  <c r="BP50" i="1"/>
  <c r="BR50" i="1"/>
  <c r="BJ49" i="1"/>
  <c r="BK49" i="1" s="1"/>
  <c r="BH49" i="1"/>
  <c r="BR49" i="1"/>
  <c r="BP49" i="1"/>
  <c r="BJ47" i="1"/>
  <c r="BK47" i="1" s="1"/>
  <c r="BH47" i="1"/>
  <c r="BR47" i="1"/>
  <c r="BP47" i="1"/>
  <c r="BI30" i="1"/>
  <c r="BQ29" i="1"/>
  <c r="G50" i="1"/>
  <c r="BH30" i="1" l="1"/>
  <c r="BJ30" i="1"/>
  <c r="BK30" i="1" s="1"/>
  <c r="BP30" i="1"/>
  <c r="BO29" i="1"/>
  <c r="BG29" i="1"/>
  <c r="BI29" i="1" s="1"/>
  <c r="AZ50" i="1"/>
  <c r="BJ29" i="1" l="1"/>
  <c r="BK29" i="1" s="1"/>
  <c r="BH29" i="1"/>
  <c r="BR29" i="1"/>
  <c r="BP29" i="1"/>
  <c r="AH28" i="1" l="1"/>
  <c r="AD28" i="1"/>
  <c r="AE28" i="1"/>
  <c r="AF28" i="1" l="1"/>
  <c r="AI28" i="1" s="1"/>
  <c r="G29" i="1"/>
  <c r="AG28" i="1" l="1"/>
  <c r="X28" i="1"/>
  <c r="Z28" i="1" s="1"/>
  <c r="BS69" i="1"/>
  <c r="BF69" i="1"/>
  <c r="BA69" i="1"/>
  <c r="AN69" i="1"/>
  <c r="AJ69" i="1"/>
  <c r="W69" i="1"/>
  <c r="R69" i="1"/>
  <c r="E69" i="1"/>
  <c r="BQ68" i="1"/>
  <c r="AY68" i="1"/>
  <c r="AA28" i="1" l="1"/>
  <c r="AB28" i="1" s="1"/>
  <c r="Y28" i="1"/>
  <c r="AW68" i="1"/>
  <c r="AO68" i="1"/>
  <c r="AQ68" i="1" s="1"/>
  <c r="AR68" i="1" l="1"/>
  <c r="AS68" i="1" s="1"/>
  <c r="AP68" i="1"/>
  <c r="AZ68" i="1"/>
  <c r="AX68" i="1"/>
  <c r="AH68" i="1"/>
  <c r="AF68" i="1" l="1"/>
  <c r="X68" i="1"/>
  <c r="Z68" i="1" s="1"/>
  <c r="AA68" i="1" l="1"/>
  <c r="AB68" i="1" s="1"/>
  <c r="Y68" i="1"/>
  <c r="AI68" i="1"/>
  <c r="P68" i="1"/>
  <c r="N68" i="1" l="1"/>
  <c r="F68" i="1"/>
  <c r="H68" i="1" s="1"/>
  <c r="I68" i="1" l="1"/>
  <c r="J68" i="1" s="1"/>
  <c r="G68" i="1"/>
  <c r="Q68" i="1"/>
  <c r="O68" i="1"/>
  <c r="BQ67" i="1"/>
  <c r="AY67" i="1"/>
  <c r="AW67" i="1" l="1"/>
  <c r="AO67" i="1"/>
  <c r="AQ67" i="1" s="1"/>
  <c r="AR67" i="1" l="1"/>
  <c r="AS67" i="1" s="1"/>
  <c r="AP67" i="1"/>
  <c r="AZ67" i="1"/>
  <c r="AX67" i="1"/>
  <c r="P67" i="1"/>
  <c r="N67" i="1" l="1"/>
  <c r="F67" i="1"/>
  <c r="H67" i="1" s="1"/>
  <c r="I67" i="1" l="1"/>
  <c r="J67" i="1" s="1"/>
  <c r="G67" i="1"/>
  <c r="O67" i="1"/>
  <c r="Q67" i="1"/>
  <c r="AH66" i="1" l="1"/>
  <c r="AF66" i="1" l="1"/>
  <c r="X66" i="1"/>
  <c r="Z66" i="1" s="1"/>
  <c r="G66" i="1"/>
  <c r="AA66" i="1" l="1"/>
  <c r="AB66" i="1" s="1"/>
  <c r="Y66" i="1"/>
  <c r="AI66" i="1"/>
  <c r="BQ65" i="1"/>
  <c r="BO65" i="1" l="1"/>
  <c r="BG65" i="1"/>
  <c r="BI65" i="1" s="1"/>
  <c r="BJ65" i="1" l="1"/>
  <c r="BK65" i="1" s="1"/>
  <c r="BH65" i="1"/>
  <c r="BP65" i="1"/>
  <c r="BR65" i="1"/>
  <c r="AY64" i="1"/>
  <c r="AW64" i="1" l="1"/>
  <c r="AO64" i="1"/>
  <c r="AQ64" i="1" s="1"/>
  <c r="AP64" i="1" l="1"/>
  <c r="AR64" i="1"/>
  <c r="AS64" i="1" s="1"/>
  <c r="AX64" i="1"/>
  <c r="AZ64" i="1"/>
  <c r="AH64" i="1"/>
  <c r="AF64" i="1" l="1"/>
  <c r="X64" i="1"/>
  <c r="Z64" i="1" s="1"/>
  <c r="AA64" i="1" l="1"/>
  <c r="AB64" i="1" s="1"/>
  <c r="Y64" i="1"/>
  <c r="AI64" i="1"/>
  <c r="P64" i="1"/>
  <c r="N64" i="1" l="1"/>
  <c r="F64" i="1"/>
  <c r="H64" i="1" s="1"/>
  <c r="I64" i="1" l="1"/>
  <c r="J64" i="1" s="1"/>
  <c r="G64" i="1"/>
  <c r="Q64" i="1"/>
  <c r="O64" i="1"/>
  <c r="AH63" i="1" l="1"/>
  <c r="AF63" i="1" l="1"/>
  <c r="X63" i="1"/>
  <c r="Z63" i="1" s="1"/>
  <c r="AA63" i="1" l="1"/>
  <c r="AB63" i="1" s="1"/>
  <c r="Y63" i="1"/>
  <c r="AI63" i="1"/>
  <c r="P63" i="1"/>
  <c r="N63" i="1" l="1"/>
  <c r="F63" i="1"/>
  <c r="H63" i="1" s="1"/>
  <c r="I63" i="1" l="1"/>
  <c r="J63" i="1" s="1"/>
  <c r="G63" i="1"/>
  <c r="Q63" i="1"/>
  <c r="O63" i="1"/>
  <c r="AH62" i="1"/>
  <c r="AF62" i="1" l="1"/>
  <c r="X62" i="1"/>
  <c r="Z62" i="1" s="1"/>
  <c r="AA62" i="1" l="1"/>
  <c r="AB62" i="1" s="1"/>
  <c r="Y62" i="1"/>
  <c r="AI62" i="1"/>
  <c r="P62" i="1"/>
  <c r="N62" i="1" l="1"/>
  <c r="F62" i="1"/>
  <c r="H62" i="1" s="1"/>
  <c r="I62" i="1" l="1"/>
  <c r="J62" i="1" s="1"/>
  <c r="G62" i="1"/>
  <c r="Q62" i="1"/>
  <c r="O62" i="1"/>
  <c r="AH61" i="1"/>
  <c r="AF61" i="1" l="1"/>
  <c r="X61" i="1"/>
  <c r="Z61" i="1" s="1"/>
  <c r="AA61" i="1" l="1"/>
  <c r="AB61" i="1" s="1"/>
  <c r="Y61" i="1"/>
  <c r="AI61" i="1"/>
  <c r="P61" i="1"/>
  <c r="N61" i="1" l="1"/>
  <c r="F61" i="1"/>
  <c r="H61" i="1" s="1"/>
  <c r="I61" i="1" l="1"/>
  <c r="J61" i="1" s="1"/>
  <c r="G61" i="1"/>
  <c r="Q61" i="1"/>
  <c r="O61" i="1"/>
  <c r="BQ59" i="1" l="1"/>
  <c r="BO59" i="1" l="1"/>
  <c r="BG59" i="1"/>
  <c r="BI59" i="1" s="1"/>
  <c r="BP58" i="1"/>
  <c r="BH59" i="1" l="1"/>
  <c r="BJ59" i="1"/>
  <c r="BK59" i="1" s="1"/>
  <c r="BR59" i="1"/>
  <c r="BP59" i="1"/>
  <c r="BQ57" i="1"/>
  <c r="BO57" i="1" l="1"/>
  <c r="BG57" i="1"/>
  <c r="BI57" i="1" s="1"/>
  <c r="BJ57" i="1" l="1"/>
  <c r="BK57" i="1" s="1"/>
  <c r="BH57" i="1"/>
  <c r="BP57" i="1"/>
  <c r="BR57" i="1"/>
  <c r="BQ56" i="1"/>
  <c r="AY56" i="1"/>
  <c r="AW56" i="1" l="1"/>
  <c r="AO56" i="1"/>
  <c r="AQ56" i="1" s="1"/>
  <c r="AR56" i="1" l="1"/>
  <c r="AS56" i="1" s="1"/>
  <c r="AP56" i="1"/>
  <c r="AZ56" i="1"/>
  <c r="AX56" i="1"/>
  <c r="AH56" i="1"/>
  <c r="AF56" i="1" l="1"/>
  <c r="X56" i="1"/>
  <c r="Z56" i="1" s="1"/>
  <c r="AA56" i="1" l="1"/>
  <c r="AB56" i="1" s="1"/>
  <c r="Y56" i="1"/>
  <c r="AI56" i="1"/>
  <c r="P56" i="1"/>
  <c r="N56" i="1" l="1"/>
  <c r="F56" i="1"/>
  <c r="H56" i="1" s="1"/>
  <c r="I56" i="1" l="1"/>
  <c r="J56" i="1" s="1"/>
  <c r="G56" i="1"/>
  <c r="Q56" i="1"/>
  <c r="O56" i="1"/>
  <c r="BQ55" i="1"/>
  <c r="G55" i="1" l="1"/>
  <c r="BQ54" i="1"/>
  <c r="AY54" i="1"/>
  <c r="AW54" i="1" l="1"/>
  <c r="AO54" i="1"/>
  <c r="AQ54" i="1" s="1"/>
  <c r="AR54" i="1" l="1"/>
  <c r="AS54" i="1" s="1"/>
  <c r="AP54" i="1"/>
  <c r="AZ54" i="1"/>
  <c r="AX54" i="1"/>
  <c r="AH54" i="1"/>
  <c r="AF54" i="1" l="1"/>
  <c r="X54" i="1"/>
  <c r="Z54" i="1" s="1"/>
  <c r="AA54" i="1" l="1"/>
  <c r="AB54" i="1" s="1"/>
  <c r="Y54" i="1"/>
  <c r="AI54" i="1"/>
  <c r="P54" i="1"/>
  <c r="N54" i="1" l="1"/>
  <c r="F54" i="1"/>
  <c r="H54" i="1" s="1"/>
  <c r="I54" i="1" l="1"/>
  <c r="J54" i="1" s="1"/>
  <c r="G54" i="1"/>
  <c r="Q54" i="1"/>
  <c r="O54" i="1"/>
  <c r="AH53" i="1" l="1"/>
  <c r="BQ52" i="1" l="1"/>
  <c r="AH52" i="1"/>
  <c r="AF52" i="1" l="1"/>
  <c r="X52" i="1"/>
  <c r="Z52" i="1" s="1"/>
  <c r="AA52" i="1" l="1"/>
  <c r="AB52" i="1" s="1"/>
  <c r="Y52" i="1"/>
  <c r="AI52" i="1"/>
  <c r="P52" i="1"/>
  <c r="N52" i="1" l="1"/>
  <c r="F52" i="1"/>
  <c r="H52" i="1" s="1"/>
  <c r="I52" i="1" l="1"/>
  <c r="J52" i="1" s="1"/>
  <c r="G52" i="1"/>
  <c r="Q52" i="1"/>
  <c r="O52" i="1"/>
  <c r="BQ51" i="1"/>
  <c r="BO51" i="1" l="1"/>
  <c r="BG51" i="1"/>
  <c r="BI51" i="1" s="1"/>
  <c r="AH51" i="1"/>
  <c r="G51" i="1"/>
  <c r="BH51" i="1" l="1"/>
  <c r="BJ51" i="1"/>
  <c r="BK51" i="1" s="1"/>
  <c r="BR51" i="1"/>
  <c r="BP51" i="1"/>
  <c r="AH49" i="1" l="1"/>
  <c r="AF49" i="1" l="1"/>
  <c r="X49" i="1"/>
  <c r="Z49" i="1" s="1"/>
  <c r="G49" i="1"/>
  <c r="AA49" i="1" l="1"/>
  <c r="AB49" i="1" s="1"/>
  <c r="Y49" i="1"/>
  <c r="AI49" i="1"/>
  <c r="BQ48" i="1"/>
  <c r="AH48" i="1"/>
  <c r="AF48" i="1" l="1"/>
  <c r="X48" i="1"/>
  <c r="Z48" i="1" s="1"/>
  <c r="G48" i="1"/>
  <c r="AA48" i="1" l="1"/>
  <c r="AB48" i="1" s="1"/>
  <c r="Y48" i="1"/>
  <c r="AI48" i="1"/>
  <c r="AH47" i="1" l="1"/>
  <c r="AF47" i="1" l="1"/>
  <c r="X47" i="1"/>
  <c r="Z47" i="1" s="1"/>
  <c r="G47" i="1"/>
  <c r="AA47" i="1" l="1"/>
  <c r="AB47" i="1" s="1"/>
  <c r="Y47" i="1"/>
  <c r="AI47" i="1"/>
  <c r="AY46" i="1"/>
  <c r="AW46" i="1" l="1"/>
  <c r="AO46" i="1"/>
  <c r="AQ46" i="1" s="1"/>
  <c r="AR46" i="1" l="1"/>
  <c r="AS46" i="1" s="1"/>
  <c r="AP46" i="1"/>
  <c r="AX46" i="1"/>
  <c r="AZ46" i="1"/>
  <c r="AH46" i="1"/>
  <c r="AF46" i="1" l="1"/>
  <c r="X46" i="1"/>
  <c r="Z46" i="1" s="1"/>
  <c r="G46" i="1"/>
  <c r="AA46" i="1" l="1"/>
  <c r="AB46" i="1" s="1"/>
  <c r="Y46" i="1"/>
  <c r="AI46" i="1"/>
  <c r="AY45" i="1"/>
  <c r="AW45" i="1" l="1"/>
  <c r="AO45" i="1"/>
  <c r="AQ45" i="1" s="1"/>
  <c r="G45" i="1"/>
  <c r="AR45" i="1" l="1"/>
  <c r="AS45" i="1" s="1"/>
  <c r="AP45" i="1"/>
  <c r="AZ45" i="1"/>
  <c r="AX45" i="1"/>
  <c r="BQ44" i="1"/>
  <c r="AY44" i="1"/>
  <c r="AW44" i="1" l="1"/>
  <c r="AO44" i="1"/>
  <c r="AQ44" i="1" s="1"/>
  <c r="AR44" i="1" l="1"/>
  <c r="AS44" i="1" s="1"/>
  <c r="AP44" i="1"/>
  <c r="AZ44" i="1"/>
  <c r="AX44" i="1"/>
  <c r="P44" i="1"/>
  <c r="N44" i="1" l="1"/>
  <c r="F44" i="1"/>
  <c r="H44" i="1" s="1"/>
  <c r="I44" i="1" l="1"/>
  <c r="J44" i="1" s="1"/>
  <c r="G44" i="1"/>
  <c r="Q44" i="1"/>
  <c r="O44" i="1"/>
  <c r="BQ43" i="1"/>
  <c r="AY43" i="1"/>
  <c r="AW43" i="1" l="1"/>
  <c r="AO43" i="1"/>
  <c r="AQ43" i="1" s="1"/>
  <c r="AR43" i="1" l="1"/>
  <c r="AS43" i="1" s="1"/>
  <c r="AP43" i="1"/>
  <c r="AZ43" i="1"/>
  <c r="AX43" i="1"/>
  <c r="P43" i="1"/>
  <c r="N43" i="1" l="1"/>
  <c r="F43" i="1"/>
  <c r="H43" i="1" s="1"/>
  <c r="I43" i="1" l="1"/>
  <c r="J43" i="1" s="1"/>
  <c r="G43" i="1"/>
  <c r="Q43" i="1"/>
  <c r="O43" i="1"/>
  <c r="AY42" i="1"/>
  <c r="AW42" i="1" l="1"/>
  <c r="AO42" i="1"/>
  <c r="AQ42" i="1" s="1"/>
  <c r="G42" i="1"/>
  <c r="AR42" i="1" l="1"/>
  <c r="AS42" i="1" s="1"/>
  <c r="AP42" i="1"/>
  <c r="AZ42" i="1"/>
  <c r="AX42" i="1"/>
  <c r="AY41" i="1"/>
  <c r="AW41" i="1" l="1"/>
  <c r="AO41" i="1"/>
  <c r="AQ41" i="1" s="1"/>
  <c r="G41" i="1"/>
  <c r="AR41" i="1" l="1"/>
  <c r="AS41" i="1" s="1"/>
  <c r="AP41" i="1"/>
  <c r="AZ41" i="1"/>
  <c r="AX41" i="1"/>
  <c r="AY40" i="1"/>
  <c r="AW40" i="1" l="1"/>
  <c r="AO40" i="1"/>
  <c r="AQ40" i="1" s="1"/>
  <c r="G40" i="1"/>
  <c r="AR40" i="1" l="1"/>
  <c r="AS40" i="1" s="1"/>
  <c r="AP40" i="1"/>
  <c r="AZ40" i="1"/>
  <c r="AX40" i="1"/>
  <c r="AY39" i="1"/>
  <c r="AW39" i="1" l="1"/>
  <c r="AO39" i="1"/>
  <c r="AQ39" i="1" s="1"/>
  <c r="G39" i="1"/>
  <c r="AR39" i="1" l="1"/>
  <c r="AS39" i="1" s="1"/>
  <c r="AP39" i="1"/>
  <c r="AZ39" i="1"/>
  <c r="AX39" i="1"/>
  <c r="AY38" i="1"/>
  <c r="AW38" i="1" l="1"/>
  <c r="AO38" i="1"/>
  <c r="AQ38" i="1" s="1"/>
  <c r="G38" i="1"/>
  <c r="AR38" i="1" l="1"/>
  <c r="AS38" i="1" s="1"/>
  <c r="AP38" i="1"/>
  <c r="AZ38" i="1"/>
  <c r="AX38" i="1"/>
  <c r="AY37" i="1"/>
  <c r="AW37" i="1" l="1"/>
  <c r="AO37" i="1"/>
  <c r="AQ37" i="1" s="1"/>
  <c r="G37" i="1"/>
  <c r="AR37" i="1" l="1"/>
  <c r="AS37" i="1" s="1"/>
  <c r="AP37" i="1"/>
  <c r="AZ37" i="1"/>
  <c r="AX37" i="1"/>
  <c r="AH36" i="1"/>
  <c r="AF36" i="1" l="1"/>
  <c r="X36" i="1"/>
  <c r="Z36" i="1" s="1"/>
  <c r="G36" i="1"/>
  <c r="AA36" i="1" l="1"/>
  <c r="AB36" i="1" s="1"/>
  <c r="Y36" i="1"/>
  <c r="AI36" i="1"/>
  <c r="AH35" i="1"/>
  <c r="X35" i="1" s="1"/>
  <c r="AF35" i="1" l="1"/>
  <c r="Z35" i="1"/>
  <c r="G35" i="1"/>
  <c r="AA35" i="1" l="1"/>
  <c r="AB35" i="1" s="1"/>
  <c r="Y35" i="1"/>
  <c r="AI35" i="1"/>
  <c r="BQ34" i="1"/>
  <c r="AH34" i="1"/>
  <c r="AF34" i="1" l="1"/>
  <c r="X34" i="1"/>
  <c r="Z34" i="1" s="1"/>
  <c r="G34" i="1"/>
  <c r="AA34" i="1" l="1"/>
  <c r="AB34" i="1" s="1"/>
  <c r="Y34" i="1"/>
  <c r="AI34" i="1"/>
  <c r="AH33" i="1"/>
  <c r="AF33" i="1" l="1"/>
  <c r="X33" i="1"/>
  <c r="Z33" i="1" s="1"/>
  <c r="G33" i="1"/>
  <c r="AA33" i="1" l="1"/>
  <c r="AB33" i="1" s="1"/>
  <c r="Y33" i="1"/>
  <c r="AI33" i="1"/>
  <c r="AH32" i="1"/>
  <c r="AF32" i="1" l="1"/>
  <c r="X32" i="1"/>
  <c r="Z32" i="1" s="1"/>
  <c r="G32" i="1"/>
  <c r="AA32" i="1" l="1"/>
  <c r="AB32" i="1" s="1"/>
  <c r="Y32" i="1"/>
  <c r="AI32" i="1"/>
  <c r="AH31" i="1"/>
  <c r="AF31" i="1" l="1"/>
  <c r="X31" i="1"/>
  <c r="Z31" i="1" s="1"/>
  <c r="G31" i="1"/>
  <c r="Y31" i="1" l="1"/>
  <c r="AA31" i="1"/>
  <c r="AB31" i="1" s="1"/>
  <c r="AI31" i="1"/>
  <c r="AH30" i="1" l="1"/>
  <c r="AF30" i="1" l="1"/>
  <c r="X30" i="1"/>
  <c r="Z30" i="1" s="1"/>
  <c r="G30" i="1"/>
  <c r="AA30" i="1" l="1"/>
  <c r="AB30" i="1" s="1"/>
  <c r="Y30" i="1"/>
  <c r="AI30" i="1"/>
  <c r="AH29" i="1"/>
  <c r="AF29" i="1" l="1"/>
  <c r="X29" i="1"/>
  <c r="Z29" i="1" s="1"/>
  <c r="G28" i="1"/>
  <c r="AA29" i="1" l="1"/>
  <c r="AB29" i="1" s="1"/>
  <c r="Y29" i="1"/>
  <c r="AI29" i="1"/>
  <c r="AH27" i="1"/>
  <c r="AF27" i="1" l="1"/>
  <c r="X27" i="1"/>
  <c r="Z27" i="1" s="1"/>
  <c r="G27" i="1"/>
  <c r="Y27" i="1" l="1"/>
  <c r="AA27" i="1"/>
  <c r="AB27" i="1" s="1"/>
  <c r="AI27" i="1"/>
  <c r="AH26" i="1"/>
  <c r="AF26" i="1" l="1"/>
  <c r="X26" i="1"/>
  <c r="Z26" i="1" s="1"/>
  <c r="G26" i="1"/>
  <c r="AA26" i="1" l="1"/>
  <c r="AB26" i="1" s="1"/>
  <c r="Y26" i="1"/>
  <c r="AI26" i="1"/>
  <c r="AH25" i="1"/>
  <c r="AF25" i="1" l="1"/>
  <c r="X25" i="1"/>
  <c r="Z25" i="1" s="1"/>
  <c r="G25" i="1"/>
  <c r="AA25" i="1" l="1"/>
  <c r="AB25" i="1" s="1"/>
  <c r="Y25" i="1"/>
  <c r="AI25" i="1"/>
  <c r="AH24" i="1"/>
  <c r="AF24" i="1" l="1"/>
  <c r="X24" i="1"/>
  <c r="Z24" i="1" s="1"/>
  <c r="G24" i="1"/>
  <c r="AA24" i="1" l="1"/>
  <c r="AB24" i="1" s="1"/>
  <c r="Y24" i="1"/>
  <c r="AI24" i="1"/>
  <c r="BQ23" i="1"/>
  <c r="AH23" i="1"/>
  <c r="AF23" i="1" l="1"/>
  <c r="X23" i="1"/>
  <c r="Z23" i="1" s="1"/>
  <c r="G23" i="1"/>
  <c r="Y23" i="1" l="1"/>
  <c r="AA23" i="1"/>
  <c r="AB23" i="1" s="1"/>
  <c r="AI23" i="1"/>
  <c r="BQ22" i="1"/>
  <c r="AH22" i="1"/>
  <c r="AF22" i="1" l="1"/>
  <c r="X22" i="1"/>
  <c r="Z22" i="1" s="1"/>
  <c r="G22" i="1"/>
  <c r="AA22" i="1" l="1"/>
  <c r="AB22" i="1" s="1"/>
  <c r="Y22" i="1"/>
  <c r="AI22" i="1"/>
  <c r="BQ21" i="1"/>
  <c r="AH21" i="1"/>
  <c r="AF21" i="1" l="1"/>
  <c r="X21" i="1"/>
  <c r="Z21" i="1" s="1"/>
  <c r="AA21" i="1" l="1"/>
  <c r="AB21" i="1" s="1"/>
  <c r="Y21" i="1"/>
  <c r="AI21" i="1"/>
  <c r="P21" i="1"/>
  <c r="N21" i="1" l="1"/>
  <c r="F21" i="1"/>
  <c r="H21" i="1" s="1"/>
  <c r="I21" i="1" l="1"/>
  <c r="J21" i="1" s="1"/>
  <c r="G21" i="1"/>
  <c r="O21" i="1"/>
  <c r="Q21" i="1"/>
  <c r="BQ20" i="1"/>
  <c r="AH20" i="1"/>
  <c r="AF20" i="1" l="1"/>
  <c r="X20" i="1"/>
  <c r="Z20" i="1" s="1"/>
  <c r="AA20" i="1" l="1"/>
  <c r="AB20" i="1" s="1"/>
  <c r="Y20" i="1"/>
  <c r="AI20" i="1"/>
  <c r="P20" i="1"/>
  <c r="N20" i="1" l="1"/>
  <c r="F20" i="1"/>
  <c r="H20" i="1" s="1"/>
  <c r="I20" i="1" l="1"/>
  <c r="J20" i="1" s="1"/>
  <c r="G20" i="1"/>
  <c r="Q20" i="1"/>
  <c r="O20" i="1"/>
  <c r="BQ19" i="1"/>
  <c r="AH19" i="1"/>
  <c r="AF19" i="1" l="1"/>
  <c r="X19" i="1"/>
  <c r="Z19" i="1" s="1"/>
  <c r="AA19" i="1" l="1"/>
  <c r="AB19" i="1" s="1"/>
  <c r="Y19" i="1"/>
  <c r="AI19" i="1"/>
  <c r="P19" i="1"/>
  <c r="N19" i="1" l="1"/>
  <c r="F19" i="1"/>
  <c r="H19" i="1" s="1"/>
  <c r="I19" i="1" l="1"/>
  <c r="J19" i="1" s="1"/>
  <c r="G19" i="1"/>
  <c r="Q19" i="1"/>
  <c r="O19" i="1"/>
  <c r="BQ18" i="1"/>
  <c r="AH18" i="1"/>
  <c r="AF18" i="1" l="1"/>
  <c r="X18" i="1"/>
  <c r="Z18" i="1" s="1"/>
  <c r="AA18" i="1" l="1"/>
  <c r="AB18" i="1" s="1"/>
  <c r="Y18" i="1"/>
  <c r="AI18" i="1"/>
  <c r="P18" i="1"/>
  <c r="N18" i="1" l="1"/>
  <c r="F18" i="1"/>
  <c r="H18" i="1" s="1"/>
  <c r="I18" i="1" l="1"/>
  <c r="J18" i="1" s="1"/>
  <c r="G18" i="1"/>
  <c r="Q18" i="1"/>
  <c r="O18" i="1"/>
  <c r="BQ17" i="1"/>
  <c r="AH17" i="1"/>
  <c r="AF17" i="1" l="1"/>
  <c r="X17" i="1"/>
  <c r="Z17" i="1" s="1"/>
  <c r="AA17" i="1" l="1"/>
  <c r="AB17" i="1" s="1"/>
  <c r="Y17" i="1"/>
  <c r="AI17" i="1"/>
  <c r="P17" i="1"/>
  <c r="N17" i="1" l="1"/>
  <c r="F17" i="1"/>
  <c r="H17" i="1" s="1"/>
  <c r="I17" i="1" l="1"/>
  <c r="J17" i="1" s="1"/>
  <c r="G17" i="1"/>
  <c r="O17" i="1"/>
  <c r="Q17" i="1"/>
  <c r="BQ16" i="1"/>
  <c r="AH16" i="1"/>
  <c r="AF16" i="1" l="1"/>
  <c r="X16" i="1"/>
  <c r="Z16" i="1" s="1"/>
  <c r="AA16" i="1" l="1"/>
  <c r="AB16" i="1" s="1"/>
  <c r="Y16" i="1"/>
  <c r="AI16" i="1"/>
  <c r="P16" i="1"/>
  <c r="N16" i="1" l="1"/>
  <c r="F16" i="1"/>
  <c r="H16" i="1" s="1"/>
  <c r="I16" i="1" l="1"/>
  <c r="J16" i="1" s="1"/>
  <c r="G16" i="1"/>
  <c r="O16" i="1"/>
  <c r="Q16" i="1"/>
  <c r="BQ15" i="1"/>
  <c r="AH15" i="1"/>
  <c r="AF15" i="1" l="1"/>
  <c r="X15" i="1"/>
  <c r="Z15" i="1" s="1"/>
  <c r="AA15" i="1" l="1"/>
  <c r="AB15" i="1" s="1"/>
  <c r="Y15" i="1"/>
  <c r="AI15" i="1"/>
  <c r="P15" i="1"/>
  <c r="N15" i="1" l="1"/>
  <c r="F15" i="1"/>
  <c r="H15" i="1" s="1"/>
  <c r="I15" i="1" l="1"/>
  <c r="J15" i="1" s="1"/>
  <c r="G15" i="1"/>
  <c r="Q15" i="1"/>
  <c r="O15" i="1"/>
  <c r="BQ14" i="1"/>
  <c r="AH14" i="1"/>
  <c r="AF14" i="1" l="1"/>
  <c r="X14" i="1"/>
  <c r="Z14" i="1" s="1"/>
  <c r="AA14" i="1" l="1"/>
  <c r="AB14" i="1" s="1"/>
  <c r="Y14" i="1"/>
  <c r="AI14" i="1"/>
  <c r="P14" i="1"/>
  <c r="N14" i="1" l="1"/>
  <c r="F14" i="1"/>
  <c r="H14" i="1" s="1"/>
  <c r="I14" i="1" l="1"/>
  <c r="J14" i="1" s="1"/>
  <c r="G14" i="1"/>
  <c r="Q14" i="1"/>
  <c r="O14" i="1"/>
  <c r="BQ13" i="1"/>
  <c r="AH13" i="1"/>
  <c r="AF13" i="1" l="1"/>
  <c r="X13" i="1"/>
  <c r="Z13" i="1" s="1"/>
  <c r="AA13" i="1" l="1"/>
  <c r="AB13" i="1" s="1"/>
  <c r="Y13" i="1"/>
  <c r="AI13" i="1"/>
  <c r="P13" i="1"/>
  <c r="N13" i="1" l="1"/>
  <c r="F13" i="1"/>
  <c r="H13" i="1" s="1"/>
  <c r="I13" i="1" l="1"/>
  <c r="J13" i="1" s="1"/>
  <c r="G13" i="1"/>
  <c r="Q13" i="1"/>
  <c r="O13" i="1"/>
  <c r="BQ12" i="1"/>
  <c r="AH12" i="1"/>
  <c r="AF12" i="1" l="1"/>
  <c r="X12" i="1"/>
  <c r="Z12" i="1" s="1"/>
  <c r="G12" i="1"/>
  <c r="Y12" i="1" l="1"/>
  <c r="AA12" i="1"/>
  <c r="AB12" i="1" s="1"/>
  <c r="AI12" i="1"/>
  <c r="BQ11" i="1"/>
  <c r="AY11" i="1"/>
  <c r="AW11" i="1" l="1"/>
  <c r="AO11" i="1"/>
  <c r="AQ11" i="1" s="1"/>
  <c r="G11" i="1"/>
  <c r="AP11" i="1" l="1"/>
  <c r="AR11" i="1"/>
  <c r="AS11" i="1" s="1"/>
  <c r="AZ11" i="1"/>
  <c r="AX11" i="1"/>
  <c r="AY10" i="1"/>
  <c r="AW10" i="1" l="1"/>
  <c r="AO10" i="1"/>
  <c r="AQ10" i="1" s="1"/>
  <c r="G10" i="1"/>
  <c r="AR10" i="1" l="1"/>
  <c r="AS10" i="1" s="1"/>
  <c r="AP10" i="1"/>
  <c r="AX10" i="1"/>
  <c r="AZ10" i="1"/>
  <c r="BQ9" i="1"/>
  <c r="BO9" i="1" l="1"/>
  <c r="BG9" i="1"/>
  <c r="BI9" i="1" s="1"/>
  <c r="BJ9" i="1" l="1"/>
  <c r="BK9" i="1" s="1"/>
  <c r="BH9" i="1"/>
  <c r="BR9" i="1"/>
  <c r="BP9" i="1"/>
  <c r="BQ8" i="1"/>
  <c r="BO8" i="1" l="1"/>
  <c r="BG8" i="1"/>
  <c r="BI8" i="1" s="1"/>
  <c r="BJ8" i="1" l="1"/>
  <c r="BK8" i="1" s="1"/>
  <c r="BH8" i="1"/>
  <c r="BR8" i="1"/>
  <c r="BP8" i="1"/>
  <c r="AY8" i="1"/>
  <c r="AW8" i="1" l="1"/>
  <c r="AO8" i="1"/>
  <c r="AQ8" i="1" s="1"/>
  <c r="AR8" i="1" l="1"/>
  <c r="AS8" i="1" s="1"/>
  <c r="AP8" i="1"/>
  <c r="AZ8" i="1"/>
  <c r="AX8" i="1"/>
  <c r="P8" i="1"/>
  <c r="N8" i="1" l="1"/>
  <c r="F8" i="1"/>
  <c r="H8" i="1" s="1"/>
  <c r="I8" i="1" l="1"/>
  <c r="J8" i="1" s="1"/>
  <c r="G8" i="1"/>
  <c r="Q8" i="1"/>
  <c r="O8" i="1"/>
  <c r="BQ6" i="1" l="1"/>
  <c r="BQ69" i="1" s="1"/>
  <c r="AY6" i="1"/>
  <c r="AY69" i="1" s="1"/>
  <c r="AW6" i="1" l="1"/>
  <c r="AO6" i="1"/>
  <c r="AQ6" i="1" s="1"/>
  <c r="AR6" i="1" l="1"/>
  <c r="AP6" i="1"/>
  <c r="AW69" i="1"/>
  <c r="AZ6" i="1"/>
  <c r="AZ69" i="1" s="1"/>
  <c r="AX6" i="1"/>
  <c r="AX69" i="1" s="1"/>
  <c r="AH6" i="1"/>
  <c r="AH69" i="1" s="1"/>
  <c r="AF6" i="1" l="1"/>
  <c r="AR69" i="1"/>
  <c r="AS6" i="1"/>
  <c r="AS69" i="1" s="1"/>
  <c r="X6" i="1"/>
  <c r="Z6" i="1" s="1"/>
  <c r="Y6" i="1" l="1"/>
  <c r="AA6" i="1"/>
  <c r="AF69" i="1"/>
  <c r="AI6" i="1"/>
  <c r="AI69" i="1" s="1"/>
  <c r="P6" i="1"/>
  <c r="P69" i="1" s="1"/>
  <c r="N6" i="1" l="1"/>
  <c r="AA69" i="1"/>
  <c r="AB6" i="1"/>
  <c r="AB69" i="1" s="1"/>
  <c r="F6" i="1"/>
  <c r="H6" i="1" s="1"/>
  <c r="BS4" i="1"/>
  <c r="BO4" i="1"/>
  <c r="BM4" i="1"/>
  <c r="BJ4" i="1"/>
  <c r="BF4" i="1"/>
  <c r="BA4" i="1"/>
  <c r="AW4" i="1"/>
  <c r="AU4" i="1"/>
  <c r="AR4" i="1"/>
  <c r="AO4" i="1"/>
  <c r="AJ4" i="1"/>
  <c r="AF4" i="1"/>
  <c r="AD4" i="1"/>
  <c r="AA4" i="1"/>
  <c r="X4" i="1"/>
  <c r="AL4" i="1" s="1"/>
  <c r="R4" i="1"/>
  <c r="N4" i="1"/>
  <c r="L4" i="1"/>
  <c r="I4" i="1"/>
  <c r="F4" i="1"/>
  <c r="T4" i="1" s="1"/>
  <c r="BA3" i="1"/>
  <c r="AY3" i="1"/>
  <c r="AW3" i="1"/>
  <c r="AU3" i="1"/>
  <c r="AR3" i="1"/>
  <c r="AO3" i="1"/>
  <c r="AJ3" i="1"/>
  <c r="AF3" i="1"/>
  <c r="AD3" i="1"/>
  <c r="AA3" i="1"/>
  <c r="X3" i="1"/>
  <c r="N3" i="1"/>
  <c r="L3" i="1"/>
  <c r="I3" i="1"/>
  <c r="AY2" i="1"/>
  <c r="BU4" i="1" l="1"/>
  <c r="BC4" i="1"/>
  <c r="AL3" i="1"/>
  <c r="BC3" i="1"/>
  <c r="BO68" i="1"/>
  <c r="BG68" i="1"/>
  <c r="BI68" i="1" s="1"/>
  <c r="AG68" i="1"/>
  <c r="BO67" i="1"/>
  <c r="BG67" i="1"/>
  <c r="BI67" i="1" s="1"/>
  <c r="AG66" i="1"/>
  <c r="AG64" i="1"/>
  <c r="AG63" i="1"/>
  <c r="AG62" i="1"/>
  <c r="AG61" i="1"/>
  <c r="BO56" i="1"/>
  <c r="BG56" i="1"/>
  <c r="BI56" i="1" s="1"/>
  <c r="AG56" i="1"/>
  <c r="BO55" i="1"/>
  <c r="BG55" i="1"/>
  <c r="BI55" i="1" s="1"/>
  <c r="BO54" i="1"/>
  <c r="BG54" i="1"/>
  <c r="BI54" i="1" s="1"/>
  <c r="AG54" i="1"/>
  <c r="BO52" i="1"/>
  <c r="BG52" i="1"/>
  <c r="BI52" i="1" s="1"/>
  <c r="AG52" i="1"/>
  <c r="AG49" i="1"/>
  <c r="BO48" i="1"/>
  <c r="BG48" i="1"/>
  <c r="BI48" i="1" s="1"/>
  <c r="AG48" i="1"/>
  <c r="AG47" i="1"/>
  <c r="AG46" i="1"/>
  <c r="BO44" i="1"/>
  <c r="BG44" i="1"/>
  <c r="BI44" i="1" s="1"/>
  <c r="BO43" i="1"/>
  <c r="BG43" i="1"/>
  <c r="BI43" i="1" s="1"/>
  <c r="AG36" i="1"/>
  <c r="AG35" i="1"/>
  <c r="BO34" i="1"/>
  <c r="BG34" i="1"/>
  <c r="BI34" i="1" s="1"/>
  <c r="AG34" i="1"/>
  <c r="AG33" i="1"/>
  <c r="AG32" i="1"/>
  <c r="AG31" i="1"/>
  <c r="AG30" i="1"/>
  <c r="AG29" i="1"/>
  <c r="AG27" i="1"/>
  <c r="AG26" i="1"/>
  <c r="AG25" i="1"/>
  <c r="AG24" i="1"/>
  <c r="BO23" i="1"/>
  <c r="BG23" i="1"/>
  <c r="BI23" i="1" s="1"/>
  <c r="AG23" i="1"/>
  <c r="BO22" i="1"/>
  <c r="BG22" i="1"/>
  <c r="BI22" i="1" s="1"/>
  <c r="AG22" i="1"/>
  <c r="BO21" i="1"/>
  <c r="BG21" i="1"/>
  <c r="BI21" i="1" s="1"/>
  <c r="AG21" i="1"/>
  <c r="BO20" i="1"/>
  <c r="BG20" i="1"/>
  <c r="BI20" i="1" s="1"/>
  <c r="AG20" i="1"/>
  <c r="BO19" i="1"/>
  <c r="BG19" i="1"/>
  <c r="BI19" i="1" s="1"/>
  <c r="AG19" i="1"/>
  <c r="BO18" i="1"/>
  <c r="BG18" i="1"/>
  <c r="BI18" i="1" s="1"/>
  <c r="AG18" i="1"/>
  <c r="BO17" i="1"/>
  <c r="BG17" i="1"/>
  <c r="BI17" i="1" s="1"/>
  <c r="AG17" i="1"/>
  <c r="BO16" i="1"/>
  <c r="BG16" i="1"/>
  <c r="BI16" i="1" s="1"/>
  <c r="AG16" i="1"/>
  <c r="BO15" i="1"/>
  <c r="BG15" i="1"/>
  <c r="BI15" i="1" s="1"/>
  <c r="AG15" i="1"/>
  <c r="BO14" i="1"/>
  <c r="BG14" i="1"/>
  <c r="BI14" i="1" s="1"/>
  <c r="AG14" i="1"/>
  <c r="BO13" i="1"/>
  <c r="BG13" i="1"/>
  <c r="BI13" i="1" s="1"/>
  <c r="AG13" i="1"/>
  <c r="BO12" i="1"/>
  <c r="BG12" i="1"/>
  <c r="BI12" i="1" s="1"/>
  <c r="AG12" i="1"/>
  <c r="BO11" i="1"/>
  <c r="BG11" i="1"/>
  <c r="BI11" i="1" s="1"/>
  <c r="BO6" i="1"/>
  <c r="BG6" i="1"/>
  <c r="BI6" i="1" s="1"/>
  <c r="AG6" i="1"/>
  <c r="AY4" i="1"/>
  <c r="I6" i="1"/>
  <c r="G6" i="1"/>
  <c r="N69" i="1"/>
  <c r="Q6" i="1"/>
  <c r="O6" i="1"/>
  <c r="O69" i="1" s="1"/>
  <c r="AG69" i="1" l="1"/>
  <c r="AH4" i="1" s="1"/>
  <c r="BH55" i="1"/>
  <c r="BJ55" i="1"/>
  <c r="BK55" i="1" s="1"/>
  <c r="BR19" i="1"/>
  <c r="BP19" i="1"/>
  <c r="BR34" i="1"/>
  <c r="BP34" i="1"/>
  <c r="BR55" i="1"/>
  <c r="BP55" i="1"/>
  <c r="BH21" i="1"/>
  <c r="BJ21" i="1"/>
  <c r="BK21" i="1" s="1"/>
  <c r="BJ56" i="1"/>
  <c r="BK56" i="1" s="1"/>
  <c r="BH56" i="1"/>
  <c r="BR56" i="1"/>
  <c r="BP56" i="1"/>
  <c r="BR43" i="1"/>
  <c r="BP43" i="1"/>
  <c r="BJ52" i="1"/>
  <c r="BK52" i="1" s="1"/>
  <c r="BH52" i="1"/>
  <c r="BJ44" i="1"/>
  <c r="BK44" i="1" s="1"/>
  <c r="BH44" i="1"/>
  <c r="BJ20" i="1"/>
  <c r="BK20" i="1" s="1"/>
  <c r="BH20" i="1"/>
  <c r="BR44" i="1"/>
  <c r="BP44" i="1"/>
  <c r="BH23" i="1"/>
  <c r="BJ23" i="1"/>
  <c r="BK23" i="1" s="1"/>
  <c r="BR12" i="1"/>
  <c r="BP12" i="1"/>
  <c r="BP13" i="1"/>
  <c r="BR13" i="1"/>
  <c r="BR23" i="1"/>
  <c r="BP23" i="1"/>
  <c r="BJ67" i="1"/>
  <c r="BK67" i="1" s="1"/>
  <c r="BH67" i="1"/>
  <c r="BJ12" i="1"/>
  <c r="BK12" i="1" s="1"/>
  <c r="BH12" i="1"/>
  <c r="BH34" i="1"/>
  <c r="BJ34" i="1"/>
  <c r="BK34" i="1" s="1"/>
  <c r="P3" i="1"/>
  <c r="P4" i="1" s="1"/>
  <c r="P2" i="1"/>
  <c r="BP15" i="1"/>
  <c r="BR15" i="1"/>
  <c r="I69" i="1"/>
  <c r="J6" i="1"/>
  <c r="J69" i="1" s="1"/>
  <c r="BR16" i="1"/>
  <c r="BP16" i="1"/>
  <c r="BP17" i="1"/>
  <c r="BR17" i="1"/>
  <c r="BJ48" i="1"/>
  <c r="BK48" i="1" s="1"/>
  <c r="BH48" i="1"/>
  <c r="BR67" i="1"/>
  <c r="BM3" i="1" s="1"/>
  <c r="BP67" i="1"/>
  <c r="BR52" i="1"/>
  <c r="BP52" i="1"/>
  <c r="BJ54" i="1"/>
  <c r="BK54" i="1" s="1"/>
  <c r="BH54" i="1"/>
  <c r="BJ14" i="1"/>
  <c r="BK14" i="1" s="1"/>
  <c r="BH14" i="1"/>
  <c r="BJ43" i="1"/>
  <c r="BK43" i="1" s="1"/>
  <c r="BH43" i="1"/>
  <c r="BP22" i="1"/>
  <c r="BR22" i="1"/>
  <c r="BJ17" i="1"/>
  <c r="BK17" i="1" s="1"/>
  <c r="BH17" i="1"/>
  <c r="BJ11" i="1"/>
  <c r="BK11" i="1" s="1"/>
  <c r="BH11" i="1"/>
  <c r="BP48" i="1"/>
  <c r="BR48" i="1"/>
  <c r="BJ13" i="1"/>
  <c r="BK13" i="1" s="1"/>
  <c r="BH13" i="1"/>
  <c r="BR20" i="1"/>
  <c r="BP20" i="1"/>
  <c r="BR21" i="1"/>
  <c r="BP21" i="1"/>
  <c r="Q69" i="1"/>
  <c r="F3" i="1"/>
  <c r="T3" i="1" s="1"/>
  <c r="R3" i="1"/>
  <c r="BJ22" i="1"/>
  <c r="BK22" i="1" s="1"/>
  <c r="BH22" i="1"/>
  <c r="BI69" i="1"/>
  <c r="BH6" i="1"/>
  <c r="BJ6" i="1"/>
  <c r="BR11" i="1"/>
  <c r="BP11" i="1"/>
  <c r="BJ18" i="1"/>
  <c r="BK18" i="1" s="1"/>
  <c r="BH18" i="1"/>
  <c r="BJ68" i="1"/>
  <c r="BK68" i="1" s="1"/>
  <c r="BH68" i="1"/>
  <c r="BJ19" i="1"/>
  <c r="BK19" i="1" s="1"/>
  <c r="BH19" i="1"/>
  <c r="BP54" i="1"/>
  <c r="BR54" i="1"/>
  <c r="BR14" i="1"/>
  <c r="BP14" i="1"/>
  <c r="BJ15" i="1"/>
  <c r="BK15" i="1" s="1"/>
  <c r="BH15" i="1"/>
  <c r="BH16" i="1"/>
  <c r="BJ16" i="1"/>
  <c r="BK16" i="1" s="1"/>
  <c r="BO69" i="1"/>
  <c r="BR6" i="1"/>
  <c r="BP6" i="1"/>
  <c r="BR18" i="1"/>
  <c r="BP18" i="1"/>
  <c r="BR68" i="1"/>
  <c r="BO3" i="1" s="1"/>
  <c r="BP68" i="1"/>
  <c r="AH3" i="1" l="1"/>
  <c r="AH2" i="1" s="1"/>
  <c r="BP69" i="1"/>
  <c r="BQ4" i="1" s="1"/>
  <c r="BQ2" i="1" s="1"/>
  <c r="BJ3" i="1"/>
  <c r="BR69" i="1"/>
  <c r="BF3" i="1"/>
  <c r="BS3" i="1"/>
  <c r="BJ69" i="1"/>
  <c r="BK6" i="1"/>
  <c r="BK69" i="1" s="1"/>
  <c r="C4" i="1" l="1"/>
  <c r="BU3" i="1"/>
</calcChain>
</file>

<file path=xl/sharedStrings.xml><?xml version="1.0" encoding="utf-8"?>
<sst xmlns="http://schemas.openxmlformats.org/spreadsheetml/2006/main" count="542" uniqueCount="348">
  <si>
    <t>S&amp;P500</t>
    <phoneticPr fontId="1" type="noConversion"/>
  </si>
  <si>
    <t>주식</t>
    <phoneticPr fontId="1" type="noConversion"/>
  </si>
  <si>
    <t>NASDAQ</t>
    <phoneticPr fontId="1" type="noConversion"/>
  </si>
  <si>
    <t>EMP1호</t>
    <phoneticPr fontId="1" type="noConversion"/>
  </si>
  <si>
    <t>EMP2호</t>
    <phoneticPr fontId="1" type="noConversion"/>
  </si>
  <si>
    <t>종목명</t>
    <phoneticPr fontId="1" type="noConversion"/>
  </si>
  <si>
    <t>시총</t>
    <phoneticPr fontId="1" type="noConversion"/>
  </si>
  <si>
    <t>거래대금</t>
    <phoneticPr fontId="1" type="noConversion"/>
  </si>
  <si>
    <t>EMP3호</t>
    <phoneticPr fontId="1" type="noConversion"/>
  </si>
  <si>
    <t>EMP4호</t>
    <phoneticPr fontId="1" type="noConversion"/>
  </si>
  <si>
    <t>IVV US EQUITY</t>
    <phoneticPr fontId="1" type="noConversion"/>
  </si>
  <si>
    <t>QQQ US EQUITY</t>
    <phoneticPr fontId="1" type="noConversion"/>
  </si>
  <si>
    <t>다우</t>
    <phoneticPr fontId="1" type="noConversion"/>
  </si>
  <si>
    <t>러셀</t>
    <phoneticPr fontId="1" type="noConversion"/>
  </si>
  <si>
    <t>IT</t>
    <phoneticPr fontId="1" type="noConversion"/>
  </si>
  <si>
    <t>커뮤니케이션</t>
    <phoneticPr fontId="1" type="noConversion"/>
  </si>
  <si>
    <t>금융</t>
    <phoneticPr fontId="1" type="noConversion"/>
  </si>
  <si>
    <t>헬스케어</t>
    <phoneticPr fontId="1" type="noConversion"/>
  </si>
  <si>
    <t>경기소비재</t>
    <phoneticPr fontId="1" type="noConversion"/>
  </si>
  <si>
    <t>필수소비재</t>
    <phoneticPr fontId="1" type="noConversion"/>
  </si>
  <si>
    <t>소재</t>
    <phoneticPr fontId="1" type="noConversion"/>
  </si>
  <si>
    <t>산업재</t>
    <phoneticPr fontId="1" type="noConversion"/>
  </si>
  <si>
    <t>유틸리티</t>
    <phoneticPr fontId="1" type="noConversion"/>
  </si>
  <si>
    <t>에너지</t>
    <phoneticPr fontId="1" type="noConversion"/>
  </si>
  <si>
    <t>부동산</t>
  </si>
  <si>
    <t>부동산</t>
    <phoneticPr fontId="1" type="noConversion"/>
  </si>
  <si>
    <t>미국지수</t>
    <phoneticPr fontId="1" type="noConversion"/>
  </si>
  <si>
    <t>미국스타일</t>
    <phoneticPr fontId="1" type="noConversion"/>
  </si>
  <si>
    <t>채권</t>
    <phoneticPr fontId="1" type="noConversion"/>
  </si>
  <si>
    <t>미국채</t>
    <phoneticPr fontId="1" type="noConversion"/>
  </si>
  <si>
    <t>단기</t>
    <phoneticPr fontId="1" type="noConversion"/>
  </si>
  <si>
    <t>중기</t>
    <phoneticPr fontId="1" type="noConversion"/>
  </si>
  <si>
    <t>장기</t>
    <phoneticPr fontId="1" type="noConversion"/>
  </si>
  <si>
    <t>회사채</t>
    <phoneticPr fontId="1" type="noConversion"/>
  </si>
  <si>
    <t>대체</t>
    <phoneticPr fontId="1" type="noConversion"/>
  </si>
  <si>
    <t>금</t>
  </si>
  <si>
    <t>금</t>
    <phoneticPr fontId="1" type="noConversion"/>
  </si>
  <si>
    <t>원자재</t>
  </si>
  <si>
    <t>원자재</t>
    <phoneticPr fontId="1" type="noConversion"/>
  </si>
  <si>
    <t>현금</t>
    <phoneticPr fontId="1" type="noConversion"/>
  </si>
  <si>
    <t>현금성</t>
  </si>
  <si>
    <t>현금성</t>
    <phoneticPr fontId="1" type="noConversion"/>
  </si>
  <si>
    <t>VOX US EQUITY</t>
  </si>
  <si>
    <t>VFH US EQUITY</t>
  </si>
  <si>
    <t>VHT US EQUITY</t>
  </si>
  <si>
    <t>VCR US EQUITY</t>
  </si>
  <si>
    <t>VDC US EQUITY</t>
  </si>
  <si>
    <t>VAW US EQUITY</t>
  </si>
  <si>
    <t>VIS US EQUITY</t>
  </si>
  <si>
    <t>VPU US EQUITY</t>
  </si>
  <si>
    <t>VDE US EQUITY</t>
  </si>
  <si>
    <t>NON-US</t>
    <phoneticPr fontId="1" type="noConversion"/>
  </si>
  <si>
    <t>DM</t>
    <phoneticPr fontId="1" type="noConversion"/>
  </si>
  <si>
    <t>EM</t>
    <phoneticPr fontId="1" type="noConversion"/>
  </si>
  <si>
    <t>EFA US EQUITY</t>
  </si>
  <si>
    <t>EEM US EQUITY</t>
  </si>
  <si>
    <t>GLD US EQUITY</t>
  </si>
  <si>
    <t>PDBC US EQUITY</t>
  </si>
  <si>
    <t>VNQ US EQUITY</t>
  </si>
  <si>
    <t>BIL US EQUITY</t>
  </si>
  <si>
    <t>아시아</t>
    <phoneticPr fontId="1" type="noConversion"/>
  </si>
  <si>
    <t>유럽</t>
    <phoneticPr fontId="1" type="noConversion"/>
  </si>
  <si>
    <t>한국</t>
    <phoneticPr fontId="1" type="noConversion"/>
  </si>
  <si>
    <t>일본</t>
    <phoneticPr fontId="1" type="noConversion"/>
  </si>
  <si>
    <t>중국</t>
    <phoneticPr fontId="1" type="noConversion"/>
  </si>
  <si>
    <t>SHY US EQUITY</t>
  </si>
  <si>
    <t>IEF US EQUITY</t>
  </si>
  <si>
    <t>TLT US EQUITY</t>
  </si>
  <si>
    <t>IG</t>
    <phoneticPr fontId="1" type="noConversion"/>
  </si>
  <si>
    <t>HY</t>
    <phoneticPr fontId="1" type="noConversion"/>
  </si>
  <si>
    <t>LQD US EQUITY</t>
  </si>
  <si>
    <t>HYG US EQUITY</t>
  </si>
  <si>
    <t>구리</t>
    <phoneticPr fontId="1" type="noConversion"/>
  </si>
  <si>
    <t>VOO US EQUITY</t>
  </si>
  <si>
    <t>XLK US EQUITY</t>
  </si>
  <si>
    <t>XLC US EQUITY</t>
  </si>
  <si>
    <t>XLF US EQUITY</t>
  </si>
  <si>
    <t>XLV US EQUITY</t>
  </si>
  <si>
    <t>XLY US EQUITY</t>
  </si>
  <si>
    <t>XLP US EQUITY</t>
  </si>
  <si>
    <t>XLB US EQUITY</t>
  </si>
  <si>
    <t>XLI US EQUITY</t>
  </si>
  <si>
    <t>XLU US EQUITY</t>
  </si>
  <si>
    <t>XLE US EQUITY</t>
  </si>
  <si>
    <t>MCHI US EQUITY</t>
  </si>
  <si>
    <t>EWY US EQUITY</t>
  </si>
  <si>
    <t>EWJ US EQUITY</t>
  </si>
  <si>
    <t>EZU US EQUITY</t>
  </si>
  <si>
    <t>VGSH US EQUITY</t>
  </si>
  <si>
    <t>VGIT US EQUITY</t>
  </si>
  <si>
    <t>VGLT US EQUITY</t>
  </si>
  <si>
    <t>USIG US EQUITY</t>
  </si>
  <si>
    <t>USHY US EQUITY</t>
  </si>
  <si>
    <t>IAU US EQUITY</t>
  </si>
  <si>
    <t>FTGC US EQUITY</t>
  </si>
  <si>
    <t>IYR US EQUITY</t>
  </si>
  <si>
    <t>SHV US EQUITY</t>
  </si>
  <si>
    <t>COPX US EQUITY</t>
    <phoneticPr fontId="1" type="noConversion"/>
  </si>
  <si>
    <t>SPY US EQUITY</t>
  </si>
  <si>
    <t>QQQM US EQUITY</t>
  </si>
  <si>
    <t>DIA US EQUITY</t>
  </si>
  <si>
    <t>IWM US EQUITY</t>
  </si>
  <si>
    <t>VGK US EQUITY</t>
  </si>
  <si>
    <t>VPL US EQUITY</t>
  </si>
  <si>
    <t>성장</t>
    <phoneticPr fontId="1" type="noConversion"/>
  </si>
  <si>
    <t>IVW US EQUITY</t>
  </si>
  <si>
    <t>VWO US EQUITY</t>
  </si>
  <si>
    <t>VEA US EQUITY</t>
  </si>
  <si>
    <t>IEI US EQUITY</t>
  </si>
  <si>
    <t>SPTL US EQUITY</t>
  </si>
  <si>
    <t>COMT US EQUITY</t>
  </si>
  <si>
    <t>XLRE US EQUITY</t>
  </si>
  <si>
    <t>SGOV US EQUITY</t>
  </si>
  <si>
    <t>가치</t>
    <phoneticPr fontId="1" type="noConversion"/>
  </si>
  <si>
    <t>모멘텀</t>
    <phoneticPr fontId="1" type="noConversion"/>
  </si>
  <si>
    <t>퀄리티</t>
    <phoneticPr fontId="1" type="noConversion"/>
  </si>
  <si>
    <t>로우볼</t>
    <phoneticPr fontId="1" type="noConversion"/>
  </si>
  <si>
    <t>고배당</t>
    <phoneticPr fontId="1" type="noConversion"/>
  </si>
  <si>
    <t>IVE US EQUITY</t>
    <phoneticPr fontId="1" type="noConversion"/>
  </si>
  <si>
    <t>MTUM US EQUITY</t>
    <phoneticPr fontId="1" type="noConversion"/>
  </si>
  <si>
    <t>QUAL US EQUITY</t>
    <phoneticPr fontId="1" type="noConversion"/>
  </si>
  <si>
    <t>SPLV US EQUITY</t>
    <phoneticPr fontId="1" type="noConversion"/>
  </si>
  <si>
    <t>VYM US EQUITY</t>
    <phoneticPr fontId="1" type="noConversion"/>
  </si>
  <si>
    <t>IYW US EQUITY</t>
    <phoneticPr fontId="1" type="noConversion"/>
  </si>
  <si>
    <t>IYF US EQUITY</t>
    <phoneticPr fontId="1" type="noConversion"/>
  </si>
  <si>
    <t>IYC US EQUITY</t>
    <phoneticPr fontId="1" type="noConversion"/>
  </si>
  <si>
    <t>IYH US EQUITY</t>
    <phoneticPr fontId="1" type="noConversion"/>
  </si>
  <si>
    <t>IYK US EQUITY</t>
    <phoneticPr fontId="1" type="noConversion"/>
  </si>
  <si>
    <t>IYM US EQUITY</t>
    <phoneticPr fontId="1" type="noConversion"/>
  </si>
  <si>
    <t>IYJ US EQUITY</t>
    <phoneticPr fontId="1" type="noConversion"/>
  </si>
  <si>
    <t>IDU US EQUITY</t>
    <phoneticPr fontId="1" type="noConversion"/>
  </si>
  <si>
    <t>IYE US EQUITY</t>
    <phoneticPr fontId="1" type="noConversion"/>
  </si>
  <si>
    <t>SPYM US EQUITY</t>
    <phoneticPr fontId="1" type="noConversion"/>
  </si>
  <si>
    <t>IWF US EQUITY</t>
    <phoneticPr fontId="1" type="noConversion"/>
  </si>
  <si>
    <t>IWF: 러셀1000</t>
    <phoneticPr fontId="1" type="noConversion"/>
  </si>
  <si>
    <t>BBJP US EQUITY</t>
    <phoneticPr fontId="1" type="noConversion"/>
  </si>
  <si>
    <t>일본핵심기업 ETF</t>
    <phoneticPr fontId="1" type="noConversion"/>
  </si>
  <si>
    <t>TLH US EQUITY</t>
    <phoneticPr fontId="1" type="noConversion"/>
  </si>
  <si>
    <t>MINT US EQUITY</t>
    <phoneticPr fontId="1" type="noConversion"/>
  </si>
  <si>
    <t>IT 소프트웨어</t>
    <phoneticPr fontId="1" type="noConversion"/>
  </si>
  <si>
    <t>IGV US EQUITY</t>
    <phoneticPr fontId="1" type="noConversion"/>
  </si>
  <si>
    <t>XSW US EQUITY</t>
    <phoneticPr fontId="1" type="noConversion"/>
  </si>
  <si>
    <t>SMH US EQUITY</t>
    <phoneticPr fontId="1" type="noConversion"/>
  </si>
  <si>
    <t>SOXX US EQUITY</t>
    <phoneticPr fontId="1" type="noConversion"/>
  </si>
  <si>
    <t>IT 하드웨어&amp;반도체</t>
    <phoneticPr fontId="1" type="noConversion"/>
  </si>
  <si>
    <t>바이오테크</t>
    <phoneticPr fontId="1" type="noConversion"/>
  </si>
  <si>
    <t>의료장비</t>
    <phoneticPr fontId="1" type="noConversion"/>
  </si>
  <si>
    <t>XBI US EQUITY</t>
    <phoneticPr fontId="1" type="noConversion"/>
  </si>
  <si>
    <t>IHI US EQUITY</t>
    <phoneticPr fontId="1" type="noConversion"/>
  </si>
  <si>
    <t>레저&amp;서비스</t>
    <phoneticPr fontId="1" type="noConversion"/>
  </si>
  <si>
    <t>PEJ US EQUITY</t>
    <phoneticPr fontId="1" type="noConversion"/>
  </si>
  <si>
    <t>통신</t>
    <phoneticPr fontId="1" type="noConversion"/>
  </si>
  <si>
    <t>IYZ US EQUITY</t>
    <phoneticPr fontId="1" type="noConversion"/>
  </si>
  <si>
    <t>XES US EQUITY</t>
    <phoneticPr fontId="1" type="noConversion"/>
  </si>
  <si>
    <t>오일서비스</t>
    <phoneticPr fontId="1" type="noConversion"/>
  </si>
  <si>
    <t>전력 인프라</t>
    <phoneticPr fontId="1" type="noConversion"/>
  </si>
  <si>
    <t>GRID US EQUITY</t>
    <phoneticPr fontId="1" type="noConversion"/>
  </si>
  <si>
    <t>NLR US EQUITY</t>
    <phoneticPr fontId="1" type="noConversion"/>
  </si>
  <si>
    <t>방산</t>
    <phoneticPr fontId="1" type="noConversion"/>
  </si>
  <si>
    <t>SHLD US EQUITY</t>
    <phoneticPr fontId="1" type="noConversion"/>
  </si>
  <si>
    <t>원자력</t>
    <phoneticPr fontId="1" type="noConversion"/>
  </si>
  <si>
    <t>재생에너지</t>
    <phoneticPr fontId="1" type="noConversion"/>
  </si>
  <si>
    <t>ICLN US EQUITY</t>
    <phoneticPr fontId="1" type="noConversion"/>
  </si>
  <si>
    <t>EMP 미분류</t>
    <phoneticPr fontId="1" type="noConversion"/>
  </si>
  <si>
    <t>ARKX US EQUITY</t>
    <phoneticPr fontId="1" type="noConversion"/>
  </si>
  <si>
    <t>AI 밸류체인</t>
    <phoneticPr fontId="1" type="noConversion"/>
  </si>
  <si>
    <t>ARTY US EQUITY</t>
    <phoneticPr fontId="1" type="noConversion"/>
  </si>
  <si>
    <t>데이터센터</t>
    <phoneticPr fontId="1" type="noConversion"/>
  </si>
  <si>
    <t>DTCR US EQUITY</t>
    <phoneticPr fontId="1" type="noConversion"/>
  </si>
  <si>
    <t>미국제조업</t>
    <phoneticPr fontId="1" type="noConversion"/>
  </si>
  <si>
    <t>AIRR US EQUITY</t>
    <phoneticPr fontId="1" type="noConversion"/>
  </si>
  <si>
    <t>물가채</t>
    <phoneticPr fontId="1" type="noConversion"/>
  </si>
  <si>
    <t>TIP US EQUITY</t>
    <phoneticPr fontId="1" type="noConversion"/>
  </si>
  <si>
    <t>SCHR US EQUITY</t>
    <phoneticPr fontId="1" type="noConversion"/>
  </si>
  <si>
    <t>3-10년 만기</t>
    <phoneticPr fontId="1" type="noConversion"/>
  </si>
  <si>
    <t>SCHO US EQUITY</t>
    <phoneticPr fontId="1" type="noConversion"/>
  </si>
  <si>
    <t>종가</t>
    <phoneticPr fontId="1" type="noConversion"/>
  </si>
  <si>
    <t>보유수량</t>
    <phoneticPr fontId="1" type="noConversion"/>
  </si>
  <si>
    <t>목표비중</t>
    <phoneticPr fontId="1" type="noConversion"/>
  </si>
  <si>
    <t>미국섹터
(Lv1)</t>
    <phoneticPr fontId="1" type="noConversion"/>
  </si>
  <si>
    <t>미국섹터
(Lv2) 및 테마</t>
    <phoneticPr fontId="1" type="noConversion"/>
  </si>
  <si>
    <t>현재비중</t>
    <phoneticPr fontId="1" type="noConversion"/>
  </si>
  <si>
    <t>평가금액</t>
    <phoneticPr fontId="1" type="noConversion"/>
  </si>
  <si>
    <t>원금</t>
    <phoneticPr fontId="1" type="noConversion"/>
  </si>
  <si>
    <t>목표금액</t>
    <phoneticPr fontId="1" type="noConversion"/>
  </si>
  <si>
    <t>IEFA US EQUITY</t>
    <phoneticPr fontId="1" type="noConversion"/>
  </si>
  <si>
    <t>EFA와 거의 유사하나 좀더 중대형</t>
    <phoneticPr fontId="1" type="noConversion"/>
  </si>
  <si>
    <t>IEMG US EQUITY</t>
    <phoneticPr fontId="1" type="noConversion"/>
  </si>
  <si>
    <t>목표수량</t>
    <phoneticPr fontId="1" type="noConversion"/>
  </si>
  <si>
    <t>매매수량</t>
    <phoneticPr fontId="1" type="noConversion"/>
  </si>
  <si>
    <t>주문수량</t>
    <phoneticPr fontId="1" type="noConversion"/>
  </si>
  <si>
    <t>주문방향</t>
    <phoneticPr fontId="1" type="noConversion"/>
  </si>
  <si>
    <t>주문금액(E)</t>
    <phoneticPr fontId="1" type="noConversion"/>
  </si>
  <si>
    <t>주식</t>
    <phoneticPr fontId="1" type="noConversion"/>
  </si>
  <si>
    <t>채권</t>
    <phoneticPr fontId="1" type="noConversion"/>
  </si>
  <si>
    <t>대체</t>
    <phoneticPr fontId="1" type="noConversion"/>
  </si>
  <si>
    <t>현금</t>
    <phoneticPr fontId="1" type="noConversion"/>
  </si>
  <si>
    <t>중개기관</t>
    <phoneticPr fontId="1" type="noConversion"/>
  </si>
  <si>
    <t>변경후 비중</t>
    <phoneticPr fontId="1" type="noConversion"/>
  </si>
  <si>
    <t>현재 비중</t>
    <phoneticPr fontId="1" type="noConversion"/>
  </si>
  <si>
    <t>합계</t>
    <phoneticPr fontId="1" type="noConversion"/>
  </si>
  <si>
    <t>한글종목명</t>
    <phoneticPr fontId="1" type="noConversion"/>
  </si>
  <si>
    <t>TIGER 구리</t>
    <phoneticPr fontId="1" type="noConversion"/>
  </si>
  <si>
    <t>원유</t>
    <phoneticPr fontId="1" type="noConversion"/>
  </si>
  <si>
    <t>261220 KS EQUITY</t>
    <phoneticPr fontId="1" type="noConversion"/>
  </si>
  <si>
    <t>KODEX WTI 원유</t>
    <phoneticPr fontId="1" type="noConversion"/>
  </si>
  <si>
    <t>항셍테크</t>
    <phoneticPr fontId="1" type="noConversion"/>
  </si>
  <si>
    <t>371160 KS EQUITY</t>
    <phoneticPr fontId="1" type="noConversion"/>
  </si>
  <si>
    <t>TIGER 항셍테크</t>
    <phoneticPr fontId="1" type="noConversion"/>
  </si>
  <si>
    <t>IXP US EQUITY</t>
    <phoneticPr fontId="1" type="noConversion"/>
  </si>
  <si>
    <t>IXP는 글로벌 커뮤니케이션임(그래도 메타/알파벳 비중 높음)</t>
    <phoneticPr fontId="1" type="noConversion"/>
  </si>
  <si>
    <t>TIME 글로벌AI</t>
    <phoneticPr fontId="1" type="noConversion"/>
  </si>
  <si>
    <t>KODEX S&amp;P500 (H)</t>
    <phoneticPr fontId="1" type="noConversion"/>
  </si>
  <si>
    <t>449190 KS EQUITY</t>
    <phoneticPr fontId="1" type="noConversion"/>
  </si>
  <si>
    <t>KODEX NAS100 (H)</t>
    <phoneticPr fontId="1" type="noConversion"/>
  </si>
  <si>
    <t>426030 KS EQUITY</t>
    <phoneticPr fontId="1" type="noConversion"/>
  </si>
  <si>
    <t>TIME NAS100 (A)</t>
    <phoneticPr fontId="1" type="noConversion"/>
  </si>
  <si>
    <t>KTB</t>
    <phoneticPr fontId="1" type="noConversion"/>
  </si>
  <si>
    <t>S&amp;P500 (국내상장)</t>
    <phoneticPr fontId="1" type="noConversion"/>
  </si>
  <si>
    <t>NASDAQ (국내상장)</t>
    <phoneticPr fontId="1" type="noConversion"/>
  </si>
  <si>
    <t>단기(국내상장)</t>
    <phoneticPr fontId="1" type="noConversion"/>
  </si>
  <si>
    <t>TIGER 미달러단기채</t>
    <phoneticPr fontId="1" type="noConversion"/>
  </si>
  <si>
    <t>장기(국내상장)</t>
    <phoneticPr fontId="1" type="noConversion"/>
  </si>
  <si>
    <t>484790 KS EQUITY</t>
    <phoneticPr fontId="1" type="noConversion"/>
  </si>
  <si>
    <t>KODEX 미국30년</t>
    <phoneticPr fontId="1" type="noConversion"/>
  </si>
  <si>
    <t>중기</t>
    <phoneticPr fontId="1" type="noConversion"/>
  </si>
  <si>
    <t>장기</t>
    <phoneticPr fontId="1" type="noConversion"/>
  </si>
  <si>
    <t>471230 KS EQUITY</t>
    <phoneticPr fontId="1" type="noConversion"/>
  </si>
  <si>
    <t>KODEX 국고10년</t>
    <phoneticPr fontId="1" type="noConversion"/>
  </si>
  <si>
    <t>보유수량</t>
  </si>
  <si>
    <t>목표수량</t>
  </si>
  <si>
    <t>주문방향</t>
  </si>
  <si>
    <t>매매수량</t>
  </si>
  <si>
    <t>주문수량</t>
  </si>
  <si>
    <t>주문금액(E)</t>
  </si>
  <si>
    <t>중개기관</t>
  </si>
  <si>
    <t>종가</t>
  </si>
  <si>
    <t>평가금액</t>
  </si>
  <si>
    <t>목표금액</t>
  </si>
  <si>
    <t>현재비중</t>
  </si>
  <si>
    <t>목표비중</t>
  </si>
  <si>
    <t>원금</t>
  </si>
  <si>
    <t>현재 비중</t>
  </si>
  <si>
    <t>변경후 비중</t>
  </si>
  <si>
    <t>원금(원)</t>
    <phoneticPr fontId="1" type="noConversion"/>
  </si>
  <si>
    <t>평가금액(원)</t>
    <phoneticPr fontId="1" type="noConversion"/>
  </si>
  <si>
    <t>목표금액(원)</t>
    <phoneticPr fontId="1" type="noConversion"/>
  </si>
  <si>
    <t>주식</t>
    <phoneticPr fontId="1" type="noConversion"/>
  </si>
  <si>
    <t>채권</t>
    <phoneticPr fontId="1" type="noConversion"/>
  </si>
  <si>
    <t>대체</t>
    <phoneticPr fontId="1" type="noConversion"/>
  </si>
  <si>
    <t>현금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</si>
  <si>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EMP 유니버스</t>
    </r>
    <r>
      <rPr>
        <sz val="11"/>
        <color theme="1"/>
        <rFont val="맑은 고딕"/>
        <family val="2"/>
        <charset val="129"/>
        <scheme val="minor"/>
      </rPr>
      <t xml:space="preserve">
(미국: 시총 100백만불, 거래대금 2백만불)</t>
    </r>
    <r>
      <rPr>
        <sz val="11"/>
        <color theme="1"/>
        <rFont val="맑은 고딕"/>
        <family val="3"/>
        <charset val="129"/>
        <scheme val="minor"/>
      </rPr>
      <t xml:space="preserve">
(한국: 시총 500억원, 거래대금 30억원)</t>
    </r>
    <phoneticPr fontId="1" type="noConversion"/>
  </si>
  <si>
    <t>합계</t>
    <phoneticPr fontId="1" type="noConversion"/>
  </si>
  <si>
    <t>종목수</t>
    <phoneticPr fontId="1" type="noConversion"/>
  </si>
  <si>
    <t>현재</t>
    <phoneticPr fontId="1" type="noConversion"/>
  </si>
  <si>
    <t>변경후</t>
    <phoneticPr fontId="1" type="noConversion"/>
  </si>
  <si>
    <t>종목수</t>
    <phoneticPr fontId="1" type="noConversion"/>
  </si>
  <si>
    <t>합계</t>
    <phoneticPr fontId="1" type="noConversion"/>
  </si>
  <si>
    <t>1Q K200 액티브</t>
    <phoneticPr fontId="1" type="noConversion"/>
  </si>
  <si>
    <t>한투</t>
    <phoneticPr fontId="1" type="noConversion"/>
  </si>
  <si>
    <t>대신</t>
    <phoneticPr fontId="1" type="noConversion"/>
  </si>
  <si>
    <t>신한</t>
    <phoneticPr fontId="1" type="noConversion"/>
  </si>
  <si>
    <t>KB</t>
    <phoneticPr fontId="1" type="noConversion"/>
  </si>
  <si>
    <t>CMS</t>
    <phoneticPr fontId="1" type="noConversion"/>
  </si>
  <si>
    <t>DB</t>
    <phoneticPr fontId="1" type="noConversion"/>
  </si>
  <si>
    <t>한화</t>
    <phoneticPr fontId="1" type="noConversion"/>
  </si>
  <si>
    <t>LS</t>
    <phoneticPr fontId="1" type="noConversion"/>
  </si>
  <si>
    <t>신영</t>
    <phoneticPr fontId="1" type="noConversion"/>
  </si>
  <si>
    <t>하나</t>
    <phoneticPr fontId="1" type="noConversion"/>
  </si>
  <si>
    <t/>
  </si>
  <si>
    <t>한글종목명</t>
    <phoneticPr fontId="1" type="noConversion"/>
  </si>
  <si>
    <t>유진</t>
    <phoneticPr fontId="1" type="noConversion"/>
  </si>
  <si>
    <t>한화</t>
    <phoneticPr fontId="1" type="noConversion"/>
  </si>
  <si>
    <t>대신</t>
    <phoneticPr fontId="1" type="noConversion"/>
  </si>
  <si>
    <t>유진</t>
    <phoneticPr fontId="1" type="noConversion"/>
  </si>
  <si>
    <t>한투</t>
    <phoneticPr fontId="1" type="noConversion"/>
  </si>
  <si>
    <t>종목명</t>
  </si>
  <si>
    <t>매수</t>
  </si>
  <si>
    <t>등락율</t>
    <phoneticPr fontId="1" type="noConversion"/>
  </si>
  <si>
    <t>속보치</t>
  </si>
  <si>
    <t>속보치</t>
    <phoneticPr fontId="1" type="noConversion"/>
  </si>
  <si>
    <t>속보($)</t>
  </si>
  <si>
    <t>속보($)</t>
    <phoneticPr fontId="1" type="noConversion"/>
  </si>
  <si>
    <t>속보(\)</t>
  </si>
  <si>
    <t>속보(\)</t>
    <phoneticPr fontId="1" type="noConversion"/>
  </si>
  <si>
    <t>속보(%)</t>
  </si>
  <si>
    <t>속보(%)</t>
    <phoneticPr fontId="1" type="noConversion"/>
  </si>
  <si>
    <t>KODEX CSI300</t>
    <phoneticPr fontId="1" type="noConversion"/>
  </si>
  <si>
    <t>ACE KRX 금현물</t>
    <phoneticPr fontId="1" type="noConversion"/>
  </si>
  <si>
    <t>TIGER 중장기국채</t>
    <phoneticPr fontId="1" type="noConversion"/>
  </si>
  <si>
    <t>손익</t>
    <phoneticPr fontId="1" type="noConversion"/>
  </si>
  <si>
    <t>매도</t>
  </si>
  <si>
    <t>종목</t>
    <phoneticPr fontId="1" type="noConversion"/>
  </si>
  <si>
    <t>출시일</t>
    <phoneticPr fontId="1" type="noConversion"/>
  </si>
  <si>
    <t>DRAM US EQUITY</t>
    <phoneticPr fontId="1" type="noConversion"/>
  </si>
  <si>
    <t>추가</t>
    <phoneticPr fontId="1" type="noConversion"/>
  </si>
  <si>
    <t>PAVE US EQUITY</t>
    <phoneticPr fontId="1" type="noConversion"/>
  </si>
  <si>
    <t>451060</t>
    <phoneticPr fontId="1" type="noConversion"/>
  </si>
  <si>
    <t>283580</t>
    <phoneticPr fontId="1" type="noConversion"/>
  </si>
  <si>
    <t>329750</t>
    <phoneticPr fontId="1" type="noConversion"/>
  </si>
  <si>
    <t>302190</t>
    <phoneticPr fontId="1" type="noConversion"/>
  </si>
  <si>
    <t>411060</t>
    <phoneticPr fontId="1" type="noConversion"/>
  </si>
  <si>
    <t>160580</t>
    <phoneticPr fontId="1" type="noConversion"/>
  </si>
  <si>
    <t>WINC US EQUITY</t>
    <phoneticPr fontId="1" type="noConversion"/>
  </si>
  <si>
    <t>시총</t>
    <phoneticPr fontId="1" type="noConversion"/>
  </si>
  <si>
    <t>CUR_MKT_CAP</t>
    <phoneticPr fontId="1" type="noConversion"/>
  </si>
  <si>
    <t>총자산</t>
    <phoneticPr fontId="1" type="noConversion"/>
  </si>
  <si>
    <t>FUND_TOTAL_ASSETS</t>
    <phoneticPr fontId="1" type="noConversion"/>
  </si>
  <si>
    <t>SOXX US EQUITY</t>
    <phoneticPr fontId="1" type="noConversion"/>
  </si>
  <si>
    <t>IVV US EQUITY</t>
    <phoneticPr fontId="1" type="noConversion"/>
  </si>
  <si>
    <t>순자산</t>
    <phoneticPr fontId="1" type="noConversion"/>
  </si>
  <si>
    <t>PYLD US EQUITY</t>
    <phoneticPr fontId="1" type="noConversion"/>
  </si>
  <si>
    <t>HYG US EQUITY</t>
    <phoneticPr fontId="1" type="noConversion"/>
  </si>
  <si>
    <t>IEF US EQUITY</t>
    <phoneticPr fontId="1" type="noConversion"/>
  </si>
  <si>
    <t>KORU US EQUITY</t>
    <phoneticPr fontId="1" type="noConversion"/>
  </si>
  <si>
    <t>광통신</t>
    <phoneticPr fontId="1" type="noConversion"/>
  </si>
  <si>
    <t>KODEX 미국 AI 광통신 네트워크</t>
  </si>
  <si>
    <t>KODEX 미국 AI 광통신 네트워크</t>
    <phoneticPr fontId="1" type="noConversion"/>
  </si>
  <si>
    <t>0173Y0 KS EQUITY</t>
  </si>
  <si>
    <t>한글종목명</t>
  </si>
  <si>
    <t>IGV US EQUITY</t>
  </si>
  <si>
    <t>SMH US EQUITY</t>
  </si>
  <si>
    <t>XBI US EQUITY</t>
  </si>
  <si>
    <t>IHI US EQUITY</t>
  </si>
  <si>
    <t>PEJ US EQUITY</t>
  </si>
  <si>
    <t>IYZ US EQUITY</t>
  </si>
  <si>
    <t>GRID US EQUITY</t>
  </si>
  <si>
    <t>ARTY US EQUITY</t>
  </si>
  <si>
    <t>DTCR US EQUITY</t>
  </si>
  <si>
    <t>NLR US EQUITY</t>
  </si>
  <si>
    <t>AIRR US EQUITY</t>
  </si>
  <si>
    <t>SHLD US EQUITY</t>
  </si>
  <si>
    <t>ICLN US EQUITY</t>
  </si>
  <si>
    <t>XES US EQUITY</t>
  </si>
  <si>
    <t>COPX US EQUITY</t>
  </si>
  <si>
    <t>대신</t>
    <phoneticPr fontId="1" type="noConversion"/>
  </si>
  <si>
    <t>한투</t>
    <phoneticPr fontId="1" type="noConversion"/>
  </si>
  <si>
    <t>0173Y0</t>
    <phoneticPr fontId="1" type="noConversion"/>
  </si>
  <si>
    <t>VOLT US EQUITY</t>
    <phoneticPr fontId="1" type="noConversion"/>
  </si>
  <si>
    <t>COM US EQUITY</t>
    <phoneticPr fontId="1" type="noConversion"/>
  </si>
  <si>
    <t>COMT US EQUITY</t>
    <phoneticPr fontId="1" type="noConversion"/>
  </si>
  <si>
    <t>한국반도체</t>
    <phoneticPr fontId="1" type="noConversion"/>
  </si>
  <si>
    <t>SOL AI반도체 TOP2</t>
    <phoneticPr fontId="1" type="noConversion"/>
  </si>
  <si>
    <t>KODEX AI전력핵심인프라</t>
    <phoneticPr fontId="1" type="noConversion"/>
  </si>
  <si>
    <t>487230</t>
    <phoneticPr fontId="1" type="noConversion"/>
  </si>
  <si>
    <t>456600</t>
    <phoneticPr fontId="1" type="noConversion"/>
  </si>
  <si>
    <t>0167A0</t>
    <phoneticPr fontId="1" type="noConversion"/>
  </si>
  <si>
    <t>449180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</si>
</sst>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76" fontId="0" fillId="0" borderId="3" xfId="1" applyNumberFormat="1" applyFont="1" applyBorder="1" applyAlignment="1">
      <alignment vertical="center"/>
    </xf>
    <xf numFmtId="0" fontId="0" fillId="0" borderId="3" xfId="1" applyNumberFormat="1" applyFont="1" applyBorder="1" applyAlignment="1">
      <alignment vertical="center"/>
    </xf>
    <xf numFmtId="176" fontId="0" fillId="3" borderId="3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6" fontId="0" fillId="0" borderId="10" xfId="1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0" borderId="15" xfId="1" applyNumberFormat="1" applyFont="1" applyBorder="1" applyAlignment="1">
      <alignment vertical="center"/>
    </xf>
    <xf numFmtId="0" fontId="0" fillId="0" borderId="15" xfId="1" applyNumberFormat="1" applyFont="1" applyBorder="1" applyAlignment="1">
      <alignment horizontal="center" vertical="center"/>
    </xf>
    <xf numFmtId="176" fontId="0" fillId="0" borderId="16" xfId="1" applyNumberFormat="1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176" fontId="0" fillId="0" borderId="17" xfId="1" applyNumberFormat="1" applyFont="1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176" fontId="0" fillId="0" borderId="15" xfId="1" applyNumberFormat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3" fontId="0" fillId="0" borderId="3" xfId="0" applyNumberFormat="1" applyBorder="1">
      <alignment vertical="center"/>
    </xf>
    <xf numFmtId="3" fontId="0" fillId="0" borderId="4" xfId="0" applyNumberFormat="1" applyBorder="1">
      <alignment vertical="center"/>
    </xf>
    <xf numFmtId="10" fontId="0" fillId="0" borderId="3" xfId="1" applyNumberFormat="1" applyFont="1" applyBorder="1" applyAlignment="1">
      <alignment horizontal="center" vertical="center"/>
    </xf>
    <xf numFmtId="3" fontId="0" fillId="0" borderId="10" xfId="0" applyNumberFormat="1" applyBorder="1">
      <alignment vertical="center"/>
    </xf>
    <xf numFmtId="3" fontId="0" fillId="4" borderId="3" xfId="0" applyNumberFormat="1" applyFill="1" applyBorder="1" applyAlignment="1">
      <alignment horizontal="center" vertical="center"/>
    </xf>
    <xf numFmtId="10" fontId="0" fillId="0" borderId="3" xfId="1" applyNumberFormat="1" applyFont="1" applyFill="1" applyBorder="1" applyAlignment="1">
      <alignment horizontal="center" vertical="center"/>
    </xf>
    <xf numFmtId="3" fontId="0" fillId="5" borderId="3" xfId="0" applyNumberForma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" fontId="0" fillId="6" borderId="0" xfId="0" applyNumberFormat="1" applyFill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  <xf numFmtId="176" fontId="0" fillId="0" borderId="15" xfId="1" applyNumberFormat="1" applyFont="1" applyBorder="1" applyAlignment="1">
      <alignment horizontal="center" vertical="center"/>
    </xf>
    <xf numFmtId="176" fontId="0" fillId="0" borderId="17" xfId="1" applyNumberFormat="1" applyFont="1" applyBorder="1" applyAlignment="1">
      <alignment horizontal="center" vertical="center"/>
    </xf>
    <xf numFmtId="176" fontId="0" fillId="0" borderId="18" xfId="1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87"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76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0.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76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0.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76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0.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Data...1824795080</v>
        <stp/>
        <stp>BDP|14170082522239387542</stp>
        <tr r="AE18" s="1"/>
      </tp>
      <tp t="s">
        <v>#N/A Requesting Data...2728621527</v>
        <stp/>
        <stp>BDP|17353747885626809451</stp>
        <tr r="M68" s="1"/>
      </tp>
      <tp t="s">
        <v>#N/A Requesting Data...2334293816</v>
        <stp/>
        <stp>BDP|12805174714360303865</stp>
        <tr r="BU60" s="1"/>
      </tp>
      <tp t="s">
        <v>#N/A Requesting Data...4016127416</v>
        <stp/>
        <stp>BDP|11348160843829847709</stp>
        <tr r="AD30" s="1"/>
      </tp>
      <tp t="s">
        <v>#N/A Requesting Data...3588209702</v>
        <stp/>
        <stp>BDP|10879586534784629815</stp>
        <tr r="AU11" s="1"/>
      </tp>
      <tp t="s">
        <v>#N/A Requesting Data...2288576314</v>
        <stp/>
        <stp>BDP|14365990062959200887</stp>
        <tr r="H13" s="4"/>
      </tp>
      <tp t="s">
        <v>#N/A Requesting Data...3472332045</v>
        <stp/>
        <stp>BDP|15930952468318039818</stp>
        <tr r="AL28" s="1"/>
      </tp>
      <tp t="s">
        <v>#N/A Requesting Data...2889513026</v>
        <stp/>
        <stp>BDP|17678633547836207952</stp>
        <tr r="AD25" s="1"/>
      </tp>
      <tp t="s">
        <v>#N/A Requesting Data...2568660317</v>
        <stp/>
        <stp>BDP|12634854462766592014</stp>
        <tr r="S68" s="1"/>
      </tp>
      <tp t="s">
        <v>#N/A Requesting Data...2234826956</v>
        <stp/>
        <stp>BDP|17906534709660694824</stp>
        <tr r="AE46" s="1"/>
      </tp>
      <tp t="s">
        <v>#N/A Requesting Data...3843707492</v>
        <stp/>
        <stp>BDP|13346801640630180485</stp>
        <tr r="AK46" s="1"/>
      </tp>
      <tp t="s">
        <v>#N/A Requesting Data...2624158749</v>
        <stp/>
        <stp>BDP|17722333071678996069</stp>
        <tr r="AV46" s="1"/>
      </tp>
      <tp t="s">
        <v>#N/A Requesting Data...2603108480</v>
        <stp/>
        <stp>BDP|12810628857198011203</stp>
        <tr r="AL22" s="1"/>
      </tp>
      <tp t="s">
        <v>#N/A Requesting Data...4269633409</v>
        <stp/>
        <stp>BDP|16146431499551732102</stp>
        <tr r="BM9" s="1"/>
      </tp>
      <tp t="s">
        <v>#N/A Requesting Data...3789549924</v>
        <stp/>
        <stp>BDP|12784147002419786196</stp>
        <tr r="AL25" s="1"/>
      </tp>
      <tp t="s">
        <v>#N/A Requesting Data...2052484881</v>
        <stp/>
        <stp>BDP|12926993968024626200</stp>
        <tr r="BC40" s="1"/>
      </tp>
      <tp t="s">
        <v>#N/A Requesting Data...3452268135</v>
        <stp/>
        <stp>BDP|17133567998860593045</stp>
        <tr r="M8" s="1"/>
      </tp>
      <tp t="s">
        <v>#N/A Requesting Data...2651900405</v>
        <stp/>
        <stp>BDP|16666840642469670870</stp>
        <tr r="S54" s="1"/>
        <tr r="H25" s="4"/>
      </tp>
      <tp t="s">
        <v>#N/A Requesting Data...2966733264</v>
        <stp/>
        <stp>BDP|13256335051869719754</stp>
        <tr r="AL16" s="1"/>
      </tp>
      <tp t="s">
        <v>#N/A Requesting Data...3700432761</v>
        <stp/>
        <stp>BDP|11259062154818090722</stp>
        <tr r="M6" s="1"/>
      </tp>
      <tp t="s">
        <v>#N/A Requesting Data...3747534852</v>
        <stp/>
        <stp>BDP|16634227907169211647</stp>
        <tr r="AE47" s="1"/>
      </tp>
      <tp t="s">
        <v>#N/A Requesting Data...3777407739</v>
        <stp/>
        <stp>BDP|15309302520158263747</stp>
        <tr r="AE16" s="1"/>
      </tp>
      <tp t="s">
        <v>#N/A Requesting Data...1675577730</v>
        <stp/>
        <stp>BDP|10082844235161384171</stp>
        <tr r="AD62" s="1"/>
      </tp>
      <tp t="s">
        <v>#N/A Requesting Data...4174797496</v>
        <stp/>
        <stp>BDP|14835386527667492943</stp>
        <tr r="AU68" s="1"/>
      </tp>
      <tp t="s">
        <v>#N/A Requesting Data...2239392214</v>
        <stp/>
        <stp>BDP|12926442228526263907</stp>
        <tr r="AU38" s="1"/>
      </tp>
      <tp t="s">
        <v>#N/A Requesting Data...1771808865</v>
        <stp/>
        <stp>BDP|14353234510948568438</stp>
        <tr r="BU15" s="1"/>
      </tp>
      <tp t="s">
        <v>#N/A Requesting Data...2932526496</v>
        <stp/>
        <stp>BDP|17310748095458255991</stp>
        <tr r="H14" s="4"/>
      </tp>
      <tp t="s">
        <v>#N/A Requesting Data...3859092530</v>
        <stp/>
        <stp>BDP|17156090586767482029</stp>
        <tr r="AL63" s="1"/>
      </tp>
      <tp t="s">
        <v>#N/A Requesting Data...2276648883</v>
        <stp/>
        <stp>BDP|17034399020159134732</stp>
        <tr r="BU49" s="1"/>
      </tp>
      <tp t="s">
        <v>#N/A Requesting Data...3927518405</v>
        <stp/>
        <stp>BDP|14207359447529703283</stp>
        <tr r="BU43" s="1"/>
      </tp>
      <tp t="s">
        <v>#N/A Requesting Data...3653226003</v>
        <stp/>
        <stp>BDP|18375871327602527896</stp>
        <tr r="BT23" s="1"/>
        <tr r="H21" s="4"/>
      </tp>
      <tp t="s">
        <v>#N/A Requesting Data...2376011136</v>
        <stp/>
        <stp>BDP|14773792639128002096</stp>
        <tr r="BB43" s="1"/>
      </tp>
      <tp t="s">
        <v>#N/A Requesting Data...3730838447</v>
        <stp/>
        <stp>BDP|13308805673755911182</stp>
        <tr r="BN43" s="1"/>
      </tp>
      <tp t="s">
        <v>#N/A Requesting Data...3324391361</v>
        <stp/>
        <stp>BDP|13088883729830240123</stp>
        <tr r="BT6" s="1"/>
      </tp>
      <tp t="s">
        <v>#N/A Requesting Data...2695289639</v>
        <stp/>
        <stp>BDP|17249651536773044944</stp>
        <tr r="J12" s="4"/>
      </tp>
      <tp t="s">
        <v>#N/A Requesting Data...3407301822</v>
        <stp/>
        <stp>BDP|16939965808197342031</stp>
        <tr r="BC42" s="1"/>
      </tp>
      <tp t="s">
        <v>#N/A Requesting Data...3310443877</v>
        <stp/>
        <stp>BDP|16846739582865379534</stp>
        <tr r="AV40" s="1"/>
      </tp>
      <tp t="s">
        <v>#N/A Requesting Data...2989873328</v>
        <stp/>
        <stp>BDP|16373856670198274893</stp>
        <tr r="AL36" s="1"/>
      </tp>
      <tp t="s">
        <v>#N/A Requesting Data...4233306379</v>
        <stp/>
        <stp>BDP|14915969206093187799</stp>
        <tr r="BM52" s="1"/>
      </tp>
      <tp t="s">
        <v>#N/A Requesting Data...3576164107</v>
        <stp/>
        <stp>BDP|14881296495621037752</stp>
        <tr r="BB44" s="1"/>
      </tp>
      <tp t="s">
        <v>#N/A Requesting Data...2745877679</v>
        <stp/>
        <stp>BDP|15150826934051783616</stp>
        <tr r="BB37" s="1"/>
      </tp>
      <tp t="s">
        <v>#N/A Requesting Data...2518606022</v>
        <stp/>
        <stp>BDP|16356550113649164246</stp>
        <tr r="AK33" s="1"/>
      </tp>
      <tp t="s">
        <v>#N/A Requesting Data...2484668339</v>
        <stp/>
        <stp>BDP|15542799102829508284</stp>
        <tr r="AV67" s="1"/>
      </tp>
      <tp t="s">
        <v>#N/A Requesting Data...1537321166</v>
        <stp/>
        <stp>BDP|11821580406408333510</stp>
        <tr r="AE63" s="1"/>
      </tp>
      <tp t="s">
        <v>#N/A Requesting Data...2536261258</v>
        <stp/>
        <stp>BDP|11877855097508452193</stp>
        <tr r="AL54" s="1"/>
      </tp>
      <tp t="s">
        <v>#N/A Requesting Data...3259749004</v>
        <stp/>
        <stp>BDP|15349184470349020409</stp>
        <tr r="BU50" s="1"/>
      </tp>
      <tp t="s">
        <v>#N/A Requesting Data...3645352170</v>
        <stp/>
        <stp>BDP|11906108592304909397</stp>
        <tr r="BB41" s="1"/>
      </tp>
      <tp t="s">
        <v>#N/A Requesting Data...2685384868</v>
        <stp/>
        <stp>BDP|14585892000857096569</stp>
        <tr r="AL24" s="1"/>
      </tp>
      <tp t="s">
        <v>#N/A Requesting Data...3120732421</v>
        <stp/>
        <stp>BDP|17794857792158393097</stp>
        <tr r="S14" s="1"/>
      </tp>
      <tp t="s">
        <v>#N/A Requesting Data...1676939340</v>
        <stp/>
        <stp>BDP|10313085151139073276</stp>
        <tr r="BC45" s="1"/>
      </tp>
      <tp t="s">
        <v>#N/A Requesting Data...2419343674</v>
        <stp/>
        <stp>BDP|17472958859975073043</stp>
        <tr r="AU41" s="1"/>
      </tp>
      <tp t="s">
        <v>#N/A Requesting Data...3877154200</v>
        <stp/>
        <stp>BDP|13338400500158425190</stp>
        <tr r="AE25" s="1"/>
      </tp>
      <tp t="s">
        <v>#N/A Requesting Data...1922051123</v>
        <stp/>
        <stp>BDP|13470898125142842519</stp>
        <tr r="AE31" s="1"/>
      </tp>
      <tp t="s">
        <v>#N/A Requesting Data...2079799725</v>
        <stp/>
        <stp>BDP|11235788161048990632</stp>
        <tr r="S8" s="1"/>
      </tp>
      <tp t="s">
        <v>#N/A Requesting Data...4054336906</v>
        <stp/>
        <stp>BDP|16656871951524253123</stp>
        <tr r="L17" s="1"/>
      </tp>
      <tp t="s">
        <v>#N/A Requesting Data...3516992207</v>
        <stp/>
        <stp>BDP|12474010257910159907</stp>
        <tr r="T64" s="1"/>
      </tp>
      <tp t="s">
        <v>#N/A Requesting Data...2284844867</v>
        <stp/>
        <stp>BDP|14370779081820214501</stp>
        <tr r="T43" s="1"/>
      </tp>
      <tp t="s">
        <v>#N/A Requesting Data...3333587780</v>
        <stp/>
        <stp>BDP|10512585380651706329</stp>
        <tr r="M20" s="1"/>
      </tp>
      <tp t="s">
        <v>#N/A Requesting Data...2716536115</v>
        <stp/>
        <stp>BDP|11054044518449673606</stp>
        <tr r="BM68" s="1"/>
      </tp>
      <tp t="s">
        <v>#N/A Requesting Data...2725679304</v>
        <stp/>
        <stp>BDP|15341500409998113762</stp>
        <tr r="I9" s="4"/>
      </tp>
      <tp t="s">
        <v>#N/A Requesting Data...4020182095</v>
        <stp/>
        <stp>BDP|15202748485521867472</stp>
        <tr r="AD48" s="1"/>
      </tp>
      <tp t="s">
        <v>#N/A Requesting Data...2503626874</v>
        <stp/>
        <stp>BDP|13935427036158306325</stp>
        <tr r="BU59" s="1"/>
      </tp>
      <tp t="s">
        <v>#N/A Requesting Data...2269741275</v>
        <stp/>
        <stp>BDP|18034561409736798476</stp>
        <tr r="I22" s="4"/>
      </tp>
      <tp t="s">
        <v>#N/A Requesting Data...1716019628</v>
        <stp/>
        <stp>BDP|17832299197996197598</stp>
        <tr r="L20" s="1"/>
      </tp>
      <tp t="s">
        <v>#N/A Requesting Data...2525713352</v>
        <stp/>
        <stp>BDP|17194935230405606753</stp>
        <tr r="BN15" s="1"/>
      </tp>
      <tp t="s">
        <v>#N/A Requesting Data...3085007712</v>
        <stp/>
        <stp>BDP|10512037316606807898</stp>
        <tr r="AV42" s="1"/>
      </tp>
      <tp t="s">
        <v>#N/A Requesting Data...3775263116</v>
        <stp/>
        <stp>BDP|13187866758081418081</stp>
        <tr r="BU22" s="1"/>
      </tp>
      <tp t="s">
        <v>#N/A Requesting Data...3671264221</v>
        <stp/>
        <stp>BDP|16298602351243687963</stp>
        <tr r="BB38" s="1"/>
      </tp>
      <tp t="s">
        <v>#N/A Requesting Data...1990568642</v>
        <stp/>
        <stp>BDP|16522908535301271260</stp>
        <tr r="AK30" s="1"/>
      </tp>
      <tp t="s">
        <v>#N/A Requesting Data...4281755727</v>
        <stp/>
        <stp>BDP|12647752726670633870</stp>
        <tr r="BM44" s="1"/>
      </tp>
      <tp t="s">
        <v>#N/A Requesting Data...3081868046</v>
        <stp/>
        <stp>BDP|14680220583290324123</stp>
        <tr r="BN54" s="1"/>
      </tp>
      <tp t="s">
        <v>#N/A Requesting Data...1634709657</v>
        <stp/>
        <stp>BDP|15526298686386172538</stp>
        <tr r="BN68" s="1"/>
      </tp>
      <tp t="s">
        <v>#N/A Requesting Data...2464574583</v>
        <stp/>
        <stp>BDP|12864812462093733366</stp>
        <tr r="BU57" s="1"/>
      </tp>
      <tp t="s">
        <v>#N/A Requesting Data...3512228271</v>
        <stp/>
        <stp>BDP|18214307102380571789</stp>
        <tr r="AV11" s="1"/>
      </tp>
      <tp t="s">
        <v>#N/A Requesting Data...3182630294</v>
        <stp/>
        <stp>BDP|14838740520544361934</stp>
        <tr r="BU18" s="1"/>
      </tp>
      <tp t="s">
        <v>#N/A Requesting Data...2089232057</v>
        <stp/>
        <stp>BDP|11189859473650837209</stp>
        <tr r="AK15" s="1"/>
      </tp>
      <tp t="s">
        <v>#N/A Requesting Data...1644179754</v>
        <stp/>
        <stp>BDP|10259248020589876501</stp>
        <tr r="BN13" s="1"/>
      </tp>
      <tp t="s">
        <v>#N/A Requesting Data...1781466578</v>
        <stp/>
        <stp>BDP|13347095874831565985</stp>
        <tr r="AL33" s="1"/>
      </tp>
      <tp t="s">
        <v>#N/A Requesting Data...3955253151</v>
        <stp/>
        <stp>BDP|18282229515017203049</stp>
        <tr r="M18" s="1"/>
      </tp>
      <tp t="s">
        <v>#N/A Requesting Data...2162196252</v>
        <stp/>
        <stp>BDP|11386546345679318525</stp>
        <tr r="BM15" s="1"/>
      </tp>
      <tp t="s">
        <v>#N/A Requesting Data...3287323084</v>
        <stp/>
        <stp>BDP|10345404080256763673</stp>
        <tr r="S61" s="1"/>
      </tp>
      <tp t="s">
        <v>#N/A Requesting Data...2850644730</v>
        <stp/>
        <stp>BDP|18109166179466375494</stp>
        <tr r="BT67" s="1"/>
      </tp>
      <tp t="s">
        <v>#N/A Requesting Data...2891958082</v>
        <stp/>
        <stp>BDP|10510764099047962559</stp>
        <tr r="AK56" s="1"/>
      </tp>
      <tp t="s">
        <v>#N/A Requesting Data...1560705687</v>
        <stp/>
        <stp>BDP|10088811249940219185</stp>
        <tr r="BM6" s="1"/>
      </tp>
      <tp t="s">
        <v>#N/A Requesting Data...3609821237</v>
        <stp/>
        <stp>BDP|11326381409556030977</stp>
        <tr r="I25" s="4"/>
      </tp>
      <tp t="s">
        <v>#N/A Requesting Data...2335108157</v>
        <stp/>
        <stp>BDP|17116350587564576535</stp>
        <tr r="BU17" s="1"/>
      </tp>
      <tp t="s">
        <v>#N/A Requesting Data...1774695352</v>
        <stp/>
        <stp>BDP|10185810361331210256</stp>
        <tr r="AD66" s="1"/>
      </tp>
      <tp t="s">
        <v>#N/A Requesting Data...2195995029</v>
        <stp/>
        <stp>BDP|10816381909075632469</stp>
        <tr r="BN56" s="1"/>
      </tp>
      <tp t="s">
        <v>#N/A Requesting Data...3976371128</v>
        <stp/>
        <stp>BDP|13979645462455643403</stp>
        <tr r="S16" s="1"/>
      </tp>
      <tp t="s">
        <v>#N/A Requesting Data...2926220036</v>
        <stp/>
        <stp>BDP|11542767954193993250</stp>
        <tr r="L68" s="1"/>
      </tp>
      <tp t="s">
        <v>#N/A Requesting Data...3494781475</v>
        <stp/>
        <stp>BDP|14376182121934014107</stp>
        <tr r="AL46" s="1"/>
      </tp>
      <tp t="s">
        <v>#N/A Requesting Data...2947584391</v>
        <stp/>
        <stp>BDP|18261252739758638322</stp>
        <tr r="AE6" s="1"/>
      </tp>
      <tp t="s">
        <v>#N/A Requesting Data...1702849339</v>
        <stp/>
        <stp>BDP|10720584915596471045</stp>
        <tr r="BT11" s="1"/>
      </tp>
      <tp t="s">
        <v>#N/A Requesting Data...2451365484</v>
        <stp/>
        <stp>BDP|12900011433962038169</stp>
        <tr r="M16" s="1"/>
      </tp>
      <tp t="s">
        <v>#N/A Requesting Data...3747747121</v>
        <stp/>
        <stp>BDP|12640651406616995002</stp>
        <tr r="BM17" s="1"/>
      </tp>
      <tp t="s">
        <v>#N/A Requesting Data...3527530701</v>
        <stp/>
        <stp>BDP|11161500983956433895</stp>
        <tr r="BT14" s="1"/>
      </tp>
      <tp t="s">
        <v>#N/A Requesting Data...1617176011</v>
        <stp/>
        <stp>BDP|10172783011022797603</stp>
        <tr r="AK32" s="1"/>
      </tp>
      <tp t="s">
        <v>#N/A Requesting Data...2866913059</v>
        <stp/>
        <stp>BDP|12706019450063546632</stp>
        <tr r="AL18" s="1"/>
      </tp>
      <tp t="s">
        <v>#N/A Requesting Data...1857410603</v>
        <stp/>
        <stp>BDP|18430965552064552273</stp>
        <tr r="BN22" s="1"/>
      </tp>
      <tp t="s">
        <v>#N/A Requesting Data...4099585628</v>
        <stp/>
        <stp>BDP|10324140234767221733</stp>
        <tr r="BT30" s="1"/>
      </tp>
      <tp t="s">
        <v>#N/A Requesting Data...4091768047</v>
        <stp/>
        <stp>BDP|17139308226483642741</stp>
        <tr r="BT18" s="1"/>
      </tp>
      <tp t="s">
        <v>#N/A Requesting Data...2900897606</v>
        <stp/>
        <stp>BDP|11023103744105011311</stp>
        <tr r="S64" s="1"/>
      </tp>
      <tp t="s">
        <v>#N/A Requesting Data...2509670808</v>
        <stp/>
        <stp>BDP|13253328945064922286</stp>
        <tr r="AD31" s="1"/>
      </tp>
      <tp t="s">
        <v>#N/A Requesting Data...3149405576</v>
        <stp/>
        <stp>BDP|10753735617481633521</stp>
        <tr r="BU6" s="1"/>
      </tp>
      <tp t="s">
        <v>#N/A Requesting Data...1954329826</v>
        <stp/>
        <stp>BDP|16730408130494910782</stp>
        <tr r="BM21" s="1"/>
      </tp>
      <tp t="s">
        <v>#N/A Requesting Data...3457125838</v>
        <stp/>
        <stp>BDP|14428469930380328098</stp>
        <tr r="BN16" s="1"/>
      </tp>
      <tp t="s">
        <v>#N/A Requesting Data...2196008891</v>
        <stp/>
        <stp>BDP|12460593557600548176</stp>
        <tr r="BC39" s="1"/>
      </tp>
      <tp t="s">
        <v>#N/A Requesting Data...1776822187</v>
        <stp/>
        <stp>BDP|17796758047000681791</stp>
        <tr r="BC44" s="1"/>
      </tp>
      <tp t="s">
        <v>#N/A Requesting Data...3997089118</v>
        <stp/>
        <stp>BDP|13686045695729971037</stp>
        <tr r="AE23" s="1"/>
      </tp>
      <tp t="s">
        <v>#N/A Requesting Data...3563961325</v>
        <stp/>
        <stp>BDP|10513350708875015555</stp>
        <tr r="AK62" s="1"/>
      </tp>
      <tp t="s">
        <v>#N/A Requesting Data...3530983136</v>
        <stp/>
        <stp>BDP|17256436817831152093</stp>
        <tr r="AL68" s="1"/>
      </tp>
      <tp t="s">
        <v>#N/A Requesting Data...3074980629</v>
        <stp/>
        <stp>BDP|14800228104414846170</stp>
        <tr r="M52" s="1"/>
      </tp>
      <tp t="s">
        <v>#N/A Requesting Data...2819484346</v>
        <stp/>
        <stp>BDP|14242447443111238679</stp>
        <tr r="AK22" s="1"/>
      </tp>
      <tp t="s">
        <v>#N/A Requesting Data...2630758994</v>
        <stp/>
        <stp>BDP|15494434475205377010</stp>
        <tr r="BU53" s="1"/>
      </tp>
      <tp t="s">
        <v>#N/A Requesting Data...2982379163</v>
        <stp/>
        <stp>BDP|10746477194927216969</stp>
        <tr r="BU13" s="1"/>
      </tp>
      <tp t="s">
        <v>#N/A Requesting Data...3165669814</v>
        <stp/>
        <stp>BDP|18307294570717319995</stp>
        <tr r="M61" s="1"/>
      </tp>
      <tp t="s">
        <v>#N/A Requesting Data...1559411550</v>
        <stp/>
        <stp>BDP|12189344134072241303</stp>
        <tr r="AU39" s="1"/>
      </tp>
      <tp t="s">
        <v>#N/A Requesting Data...3178520911</v>
        <stp/>
        <stp>BDP|14141060856397777555</stp>
        <tr r="M54" s="1"/>
      </tp>
      <tp t="s">
        <v>#N/A Requesting Data...3805510574</v>
        <stp/>
        <stp>BDP|11774340347657659202</stp>
        <tr r="BU52" s="1"/>
      </tp>
      <tp t="s">
        <v>#N/A Requesting Data...4284484443</v>
        <stp/>
        <stp>BDP|15025558607652654111</stp>
        <tr r="AL34" s="1"/>
      </tp>
      <tp t="s">
        <v>#N/A Requesting Data...2251436191</v>
        <stp/>
        <stp>BDP|10253225308130834153</stp>
        <tr r="AL15" s="1"/>
      </tp>
      <tp t="s">
        <v>#N/A Requesting Data...3240097916</v>
        <stp/>
        <stp>BDP|15610363616690544449</stp>
        <tr r="BC56" s="1"/>
      </tp>
      <tp t="s">
        <v>#N/A Requesting Data...3684434471</v>
        <stp/>
        <stp>BDP|18014821250740664632</stp>
        <tr r="T19" s="1"/>
      </tp>
      <tp t="s">
        <v>#N/A Requesting Data...3845690182</v>
        <stp/>
        <stp>BDP|16266693404294088789</stp>
        <tr r="AK13" s="1"/>
      </tp>
      <tp t="s">
        <v>#N/A Requesting Data...3904898985</v>
        <stp/>
        <stp>BDP|14242220943347762627</stp>
        <tr r="BC67" s="1"/>
      </tp>
      <tp t="s">
        <v>#N/A Requesting Data...2545555976</v>
        <stp/>
        <stp>BDP|17539119352145924667</stp>
        <tr r="BT7" s="1"/>
      </tp>
      <tp t="s">
        <v>#N/A Requesting Data...1978497195</v>
        <stp/>
        <stp>BDP|12220235419269854894</stp>
        <tr r="AL56" s="1"/>
      </tp>
      <tp t="s">
        <v>#N/A Requesting Data...3602041817</v>
        <stp/>
        <stp>BDP|11436748271662988336</stp>
        <tr r="AK28" s="1"/>
      </tp>
      <tp t="s">
        <v>#N/A Requesting Data...4247792939</v>
        <stp/>
        <stp>BDP|10930563814497818383</stp>
        <tr r="AD17" s="1"/>
      </tp>
      <tp t="s">
        <v>#N/A Requesting Data...2557995624</v>
        <stp/>
        <stp>BDP|12532043968006086233</stp>
        <tr r="BT57" s="1"/>
      </tp>
      <tp t="s">
        <v>#N/A Requesting Data...3022688189</v>
        <stp/>
        <stp>BDP|14749730110885047783</stp>
        <tr r="AU8" s="1"/>
      </tp>
      <tp t="s">
        <v>#N/A Requesting Data...3521631526</v>
        <stp/>
        <stp>BDP|15382316230577448291</stp>
        <tr r="I13" s="4"/>
      </tp>
      <tp t="s">
        <v>#N/A Requesting Data...2021735320</v>
        <stp/>
        <stp>BDP|12827072474111596415</stp>
        <tr r="AD63" s="1"/>
      </tp>
      <tp t="s">
        <v>#N/A Requesting Data...1926100356</v>
        <stp/>
        <stp>BDP|15057450216636946649</stp>
        <tr r="BU9" s="1"/>
      </tp>
      <tp t="s">
        <v>#N/A Requesting Data...3528011022</v>
        <stp/>
        <stp>BDP|16412604559166217316</stp>
        <tr r="AK24" s="1"/>
      </tp>
      <tp t="s">
        <v>#N/A Requesting Data...3527220379</v>
        <stp/>
        <stp>BDP|16469783918908433810</stp>
        <tr r="AV8" s="1"/>
      </tp>
      <tp t="s">
        <v>#N/A Requesting Data...1964872610</v>
        <stp/>
        <stp>BDP|18067898422425905720</stp>
        <tr r="S56" s="1"/>
      </tp>
      <tp t="s">
        <v>#N/A Requesting Data...2968702660</v>
        <stp/>
        <stp>BDP|13926838048769373628</stp>
        <tr r="M21" s="1"/>
      </tp>
      <tp t="s">
        <v>#N/A Requesting Data...1974048047</v>
        <stp/>
        <stp>BDP|18398923061684047323</stp>
        <tr r="AK27" s="1"/>
      </tp>
      <tp t="s">
        <v>#N/A Requesting Data...1950436370</v>
        <stp/>
        <stp>BDP|14610103728127351083</stp>
        <tr r="AK29" s="1"/>
      </tp>
      <tp t="s">
        <v>#N/A Requesting Data...3250298041</v>
        <stp/>
        <stp>BDP|10269818017488363105</stp>
        <tr r="BB10" s="1"/>
      </tp>
      <tp t="s">
        <v>#N/A Requesting Data...1992574991</v>
        <stp/>
        <stp>BDP|16232541759363282462</stp>
        <tr r="BU34" s="1"/>
      </tp>
      <tp t="s">
        <v>#N/A Requesting Data...2653361556</v>
        <stp/>
        <stp>BDP|14645562972860125795</stp>
        <tr r="L61" s="1"/>
      </tp>
      <tp t="s">
        <v>#N/A Requesting Data...2929527543</v>
        <stp/>
        <stp>BDP|10258061458467279348</stp>
        <tr r="AE34" s="1"/>
      </tp>
      <tp t="s">
        <v>#N/A Requesting Data...3810731889</v>
        <stp/>
        <stp>BDP|10889799486407854953</stp>
        <tr r="L67" s="1"/>
      </tp>
      <tp t="s">
        <v>#N/A Requesting Data...2699082576</v>
        <stp/>
        <stp>BDP|16308813586517157089</stp>
        <tr r="H12" s="4"/>
      </tp>
      <tp t="s">
        <v>#N/A Requesting Data...1666232629</v>
        <stp/>
        <stp>BDP|18192160843408172488</stp>
        <tr r="AK48" s="1"/>
      </tp>
      <tp t="s">
        <v>#N/A Requesting Data...1824306074</v>
        <stp/>
        <stp>BDP|10440108313407916638</stp>
        <tr r="I12" s="4"/>
      </tp>
      <tp t="s">
        <v>#N/A Requesting Data...4194862362</v>
        <stp/>
        <stp>BDP|12348146958033520474</stp>
        <tr r="M56" s="1"/>
      </tp>
      <tp t="s">
        <v>#N/A Requesting Data...3447406884</v>
        <stp/>
        <stp>BDP|13448461365344970407</stp>
        <tr r="AE66" s="1"/>
      </tp>
      <tp t="s">
        <v>#N/A Requesting Data...4026146777</v>
        <stp/>
        <stp>BDP|15862787850554226229</stp>
        <tr r="AE26" s="1"/>
      </tp>
      <tp t="s">
        <v>#N/A Requesting Data...3037419681</v>
        <stp/>
        <stp>BDP|11531756824154418107</stp>
        <tr r="T68" s="1"/>
      </tp>
      <tp t="s">
        <v>#N/A Requesting Data...1865635198</v>
        <stp/>
        <stp>BDP|14614604172581302570</stp>
        <tr r="M13" s="1"/>
      </tp>
      <tp t="s">
        <v>#N/A Requesting Data...2053095583</v>
        <stp/>
        <stp>BDP|16835342859275207449</stp>
        <tr r="BN34" s="1"/>
      </tp>
      <tp t="s">
        <v>#N/A Requesting Data...2711882444</v>
        <stp/>
        <stp>BDP|14017634421992852381</stp>
        <tr r="BB42" s="1"/>
      </tp>
      <tp t="s">
        <v>#N/A Requesting Data...3022466164</v>
        <stp/>
        <stp>BDP|10113137472064063354</stp>
        <tr r="AK6" s="1"/>
      </tp>
      <tp t="s">
        <v>#N/A Requesting Data...1726348080</v>
        <stp/>
        <stp>BDP|12799098174132915641</stp>
        <tr r="AK21" s="1"/>
      </tp>
      <tp t="s">
        <v>#N/A Requesting Data...2574479171</v>
        <stp/>
        <stp>BDP|16157497010954105109</stp>
        <tr r="AD22" s="1"/>
      </tp>
      <tp t="s">
        <v>#N/A Requesting Data...2685071449</v>
        <stp/>
        <stp>BDP|11076246158180574033</stp>
        <tr r="S44" s="1"/>
      </tp>
      <tp t="s">
        <v>#N/A Requesting Data...4100401453</v>
        <stp/>
        <stp>BDP|12284754498808780253</stp>
        <tr r="BN8" s="1"/>
      </tp>
      <tp t="s">
        <v>#N/A Requesting Data...3083375784</v>
        <stp/>
        <stp>BDP|13964699150042899457</stp>
        <tr r="AD27" s="1"/>
      </tp>
      <tp t="s">
        <v>#N/A Requesting Data...3257086403</v>
        <stp/>
        <stp>BDP|13429259251806551493</stp>
        <tr r="AK47" s="1"/>
      </tp>
      <tp t="s">
        <v>#N/A Requesting Data...3553862228</v>
        <stp/>
        <stp>BDP|17401042228285529628</stp>
        <tr r="T20" s="1"/>
      </tp>
      <tp t="s">
        <v>#N/A Requesting Data...3752732519</v>
        <stp/>
        <stp>BDP|11045526986648155249</stp>
        <tr r="AD49" s="1"/>
      </tp>
      <tp t="s">
        <v>#N/A Requesting Data...3918913708</v>
        <stp/>
        <stp>BDP|16703030989440757890</stp>
        <tr r="AD33" s="1"/>
      </tp>
      <tp t="s">
        <v>#N/A Requesting Data...2822249237</v>
        <stp/>
        <stp>BDP|16978320940322134597</stp>
        <tr r="AU44" s="1"/>
      </tp>
      <tp t="s">
        <v>#N/A Requesting Data...2088983798</v>
        <stp/>
        <stp>BDP|14556044331623294205</stp>
        <tr r="S19" s="1"/>
      </tp>
      <tp t="s">
        <v>#N/A Requesting Data...3824663249</v>
        <stp/>
        <stp>BDP|17509159806606104653</stp>
        <tr r="AK17" s="1"/>
      </tp>
      <tp t="s">
        <v>#N/A Requesting Data...2895460123</v>
        <stp/>
        <stp>BDP|15177566722773922791</stp>
        <tr r="H26" s="4"/>
      </tp>
      <tp t="s">
        <v>#N/A Requesting Data...3643671769</v>
        <stp/>
        <stp>BDP|12998651049442779460</stp>
        <tr r="BC41" s="1"/>
      </tp>
      <tp t="s">
        <v>#N/A Requesting Data...1688529840</v>
        <stp/>
        <stp>BDP|14672640350505768414</stp>
        <tr r="BN17" s="1"/>
      </tp>
      <tp t="s">
        <v>#N/A Requesting Data...2486681581</v>
        <stp/>
        <stp>BDP|16879672969998585848</stp>
        <tr r="BB68" s="1"/>
      </tp>
      <tp t="s">
        <v>#N/A Requesting Data...2909336376</v>
        <stp/>
        <stp>BDP|14013609269002517155</stp>
        <tr r="BT17" s="1"/>
      </tp>
      <tp t="s">
        <v>#N/A Requesting Data...4199106228</v>
        <stp/>
        <stp>BDP|12905458871551495706</stp>
        <tr r="AK64" s="1"/>
      </tp>
      <tp t="s">
        <v>#N/A Requesting Data...3423541597</v>
        <stp/>
        <stp>BDP|18175155752992813967</stp>
        <tr r="I26" s="4"/>
      </tp>
      <tp t="s">
        <v>#N/A Requesting Data...4205698586</v>
        <stp/>
        <stp>BDP|13577045309483505755</stp>
        <tr r="BT8" s="1"/>
      </tp>
      <tp t="s">
        <v>#N/A Requesting Data...2687488281</v>
        <stp/>
        <stp>BDP|12970332710825383211</stp>
        <tr r="AD35" s="1"/>
      </tp>
      <tp t="s">
        <v>#N/A Requesting Data...3640095059</v>
        <stp/>
        <stp>BDP|17207342617452258080</stp>
        <tr r="BM12" s="1"/>
      </tp>
      <tp t="s">
        <v>#N/A Requesting Data...3794472278</v>
        <stp/>
        <stp>BDP|15430950093545010795</stp>
        <tr r="BT54" s="1"/>
      </tp>
      <tp t="s">
        <v>#N/A Requesting Data...3146100319</v>
        <stp/>
        <stp>BDP|13740591527825779631</stp>
        <tr r="BU12" s="1"/>
      </tp>
      <tp t="s">
        <v>#N/A Requesting Data...2872167820</v>
        <stp/>
        <stp>BDP|12793748498499658207</stp>
        <tr r="AL21" s="1"/>
      </tp>
      <tp t="s">
        <v>#N/A Requesting Data...3697448403</v>
        <stp/>
        <stp>BDP|14464995569595832911</stp>
        <tr r="AL31" s="1"/>
      </tp>
      <tp t="s">
        <v>#N/A Requesting Data...2852244728</v>
        <stp/>
        <stp>BDP|15239265059733145609</stp>
        <tr r="AK49" s="1"/>
      </tp>
      <tp t="s">
        <v>#N/A Requesting Data...2275176290</v>
        <stp/>
        <stp>BDP|14445793645126264661</stp>
        <tr r="BT68" s="1"/>
      </tp>
      <tp t="s">
        <v>#N/A Requesting Data...1935093144</v>
        <stp/>
        <stp>BDP|14894003954776709043</stp>
        <tr r="AK36" s="1"/>
      </tp>
      <tp t="s">
        <v>#N/A Requesting Data...2988652200</v>
        <stp/>
        <stp>BDP|13809851954859057087</stp>
        <tr r="AK18" s="1"/>
      </tp>
      <tp t="s">
        <v>#N/A Requesting Data...3886046704</v>
        <stp/>
        <stp>BDP|11202106772635841594</stp>
        <tr r="BU19" s="1"/>
      </tp>
      <tp t="s">
        <v>#N/A Requesting Data...3893154005</v>
        <stp/>
        <stp>BDP|14895712383269232580</stp>
        <tr r="S62" s="1"/>
        <tr r="H24" s="4"/>
      </tp>
      <tp t="s">
        <v>#N/A Requesting Data...2437193502</v>
        <stp/>
        <stp>BDP|11182033498409340693</stp>
        <tr r="H23" s="4"/>
      </tp>
      <tp t="s">
        <v>#N/A Requesting Data...4028044010</v>
        <stp/>
        <stp>BDP|18393154698935646285</stp>
        <tr r="S20" s="1"/>
      </tp>
      <tp t="s">
        <v>#N/A Requesting Data...3292568778</v>
        <stp/>
        <stp>BDP|15280765352770170000</stp>
        <tr r="S43" s="1"/>
      </tp>
      <tp t="s">
        <v>#N/A Requesting Data...2782639733</v>
        <stp/>
        <stp>BDP|12351780226094324778</stp>
        <tr r="AD15" s="1"/>
      </tp>
      <tp t="s">
        <v>#N/A Requesting Data...1819608176</v>
        <stp/>
        <stp>BDP|15721239273000862450</stp>
        <tr r="BT34" s="1"/>
      </tp>
      <tp t="s">
        <v>#N/A Requesting Data...3334806797</v>
        <stp/>
        <stp>BDP|13819834747388147375</stp>
        <tr r="BN59" s="1"/>
      </tp>
      <tp t="s">
        <v>#N/A Requesting Data...3172049396</v>
        <stp/>
        <stp>BDP|11263593241813370751</stp>
        <tr r="BT59" s="1"/>
      </tp>
      <tp t="s">
        <v>#N/A Requesting Data...3722503666</v>
        <stp/>
        <stp>BDP|15083381354266179112</stp>
        <tr r="M17" s="1"/>
      </tp>
      <tp t="s">
        <v>#N/A Requesting Data...1600249490</v>
        <stp/>
        <stp>BDP|10595794879515917128</stp>
        <tr r="AL35" s="1"/>
      </tp>
      <tp t="s">
        <v>#N/A Requesting Data...2780637334</v>
        <stp/>
        <stp>BDP|13034777989491433944</stp>
        <tr r="BU23" s="1"/>
      </tp>
      <tp t="s">
        <v>#N/A Requesting Data...3379285038</v>
        <stp/>
        <stp>BDP|13237517953354903381</stp>
        <tr r="AD14" s="1"/>
      </tp>
      <tp t="s">
        <v>#N/A Requesting Data...2053440588</v>
        <stp/>
        <stp>BDP|10178744420618080957</stp>
        <tr r="L62" s="1"/>
      </tp>
      <tp t="s">
        <v>#N/A Requesting Data...1794694195</v>
        <stp/>
        <stp>BDP|15170001173652933482</stp>
        <tr r="BB39" s="1"/>
      </tp>
      <tp t="s">
        <v>#N/A Requesting Data...3169927736</v>
        <stp/>
        <stp>BDP|15006606856556569460</stp>
        <tr r="AK68" s="1"/>
      </tp>
      <tp t="s">
        <v>#N/A Requesting Data...3835093651</v>
        <stp/>
        <stp>BDP|15957534009943300748</stp>
        <tr r="AU42" s="1"/>
      </tp>
      <tp t="s">
        <v>#N/A Requesting Data...2116407859</v>
        <stp/>
        <stp>BDP|17923471151905158798</stp>
        <tr r="AK31" s="1"/>
      </tp>
      <tp t="s">
        <v>#N/A Requesting Data...3737059771</v>
        <stp/>
        <stp>BDP|10020514685898207101</stp>
        <tr r="BN44" s="1"/>
      </tp>
      <tp t="s">
        <v>#N/A Requesting Data...2844212445</v>
        <stp/>
        <stp>BDP|13853473953604494310</stp>
        <tr r="BM59" s="1"/>
      </tp>
      <tp t="s">
        <v>#N/A Requesting Data...3270655782</v>
        <stp/>
        <stp>BDP|17487055275855548088</stp>
        <tr r="BN18" s="1"/>
      </tp>
      <tp t="s">
        <v>#N/A Requesting Data...2328806670</v>
        <stp/>
        <stp>BDP|10920050327884113328</stp>
        <tr r="T52" s="1"/>
      </tp>
      <tp t="s">
        <v>#N/A Requesting Data...3034894713</v>
        <stp/>
        <stp>BDP|14720106749803295742</stp>
        <tr r="L21" s="1"/>
      </tp>
      <tp t="s">
        <v>#N/A Requesting Data...3861588573</v>
        <stp/>
        <stp>BDP|10959825892262141603</stp>
        <tr r="BM20" s="1"/>
      </tp>
      <tp t="s">
        <v>#N/A Requesting Data...2520679796</v>
        <stp/>
        <stp>BDP|15902783249921573267</stp>
        <tr r="AE54" s="1"/>
      </tp>
      <tp t="s">
        <v>#N/A Requesting Data...3516518070</v>
        <stp/>
        <stp>BDP|17167044819433668010</stp>
        <tr r="BC6" s="1"/>
      </tp>
      <tp t="s">
        <v>#N/A Requesting Data...2798097576</v>
        <stp/>
        <stp>BDP|10956533646934742064</stp>
        <tr r="S6" s="1"/>
        <tr r="H22" s="4"/>
      </tp>
      <tp t="s">
        <v>#N/A Requesting Data...1890106669</v>
        <stp/>
        <stp>BDP|10225119315793054694</stp>
        <tr r="AL66" s="1"/>
      </tp>
      <tp t="s">
        <v>#N/A Requesting Data...3379922693</v>
        <stp/>
        <stp>BDP|17633320233052864000</stp>
        <tr r="M64" s="1"/>
      </tp>
      <tp t="s">
        <v>#N/A Requesting Data...1870016459</v>
        <stp/>
        <stp>BDP|13816746024373235041</stp>
        <tr r="BU14" s="1"/>
      </tp>
      <tp t="s">
        <v>#N/A Requesting Data...3065143591</v>
        <stp/>
        <stp>BDP|12312235525872631524</stp>
        <tr r="BU21" s="1"/>
      </tp>
      <tp t="s">
        <v>#N/A Requesting Data...2933579071</v>
        <stp/>
        <stp>BDP|13368050326104239025</stp>
        <tr r="AL52" s="1"/>
      </tp>
      <tp t="s">
        <v>#N/A Requesting Data...1692432986</v>
        <stp/>
        <stp>BDP|17405584264461313082</stp>
        <tr r="BU48" s="1"/>
      </tp>
      <tp t="s">
        <v>#N/A Requesting Data...3011544117</v>
        <stp/>
        <stp>BDP|18037652982855695643</stp>
        <tr r="AD68" s="1"/>
      </tp>
      <tp t="s">
        <v>#N/A Requesting Data...2492999314</v>
        <stp/>
        <stp>BDP|16669027584293456808</stp>
        <tr r="T67" s="1"/>
      </tp>
      <tp t="s">
        <v>#N/A Requesting Data...1839465713</v>
        <stp/>
        <stp>BDP|14826420803690430592</stp>
        <tr r="BM22" s="1"/>
      </tp>
      <tp t="s">
        <v>#N/A Requesting Data...3092684793</v>
        <stp/>
        <stp>BDP|10192649032953673361</stp>
        <tr r="AV41" s="1"/>
      </tp>
      <tp t="s">
        <v>#N/A Requesting Data...3472361645</v>
        <stp/>
        <stp>BDP|14696523862406833485</stp>
        <tr r="AL32" s="1"/>
      </tp>
      <tp t="s">
        <v>#N/A Requesting Data...2344638551</v>
        <stp/>
        <stp>BDP|14831593060681266356</stp>
        <tr r="AV6" s="1"/>
      </tp>
    </main>
    <main first="infomax.xlrtd">
      <tp>
        <v>0</v>
        <stp/>
        <stp>P</stp>
        <stp>0</stp>
        <stp>STK</stp>
        <stp>487230</stp>
        <stp>등락률</stp>
        <stp/>
        <stp/>
        <tr r="BN29" s="1"/>
      </tp>
      <tp>
        <v>0</v>
        <stp/>
        <stp>P</stp>
        <stp>0</stp>
        <stp>STK</stp>
        <stp>283580</stp>
        <stp>등락률</stp>
        <stp/>
        <stp/>
        <tr r="BN49" s="1"/>
      </tp>
      <tp>
        <v>0</v>
        <stp/>
        <stp>P</stp>
        <stp>0</stp>
        <stp>STK</stp>
        <stp>456600</stp>
        <stp>등락률</stp>
        <stp/>
        <stp/>
        <tr r="BN30" s="1"/>
      </tp>
      <tp>
        <v>0</v>
        <stp/>
        <stp>P</stp>
        <stp>0</stp>
        <stp>STK</stp>
        <stp>451060</stp>
        <stp>등락률</stp>
        <stp/>
        <stp/>
        <tr r="BN47" s="1"/>
      </tp>
      <tp>
        <v>0</v>
        <stp/>
        <stp>P</stp>
        <stp>0</stp>
        <stp>STK</stp>
        <stp>449180</stp>
        <stp>등락률</stp>
        <stp/>
        <stp/>
        <tr r="BN7" s="1"/>
      </tp>
      <tp>
        <v>0</v>
        <stp/>
        <stp>P</stp>
        <stp>0</stp>
        <stp>STK</stp>
        <stp>160580</stp>
        <stp>등락률</stp>
        <stp/>
        <stp/>
        <tr r="BN66" s="1"/>
      </tp>
      <tp>
        <v>0</v>
        <stp/>
        <stp>P</stp>
        <stp>0</stp>
        <stp>STK</stp>
        <stp>0173Y0</stp>
        <stp>등락률</stp>
        <stp/>
        <stp/>
        <tr r="AE28" s="1"/>
      </tp>
      <tp>
        <v>0</v>
        <stp/>
        <stp>P</stp>
        <stp>0</stp>
        <stp>STK</stp>
        <stp>0167A0</stp>
        <stp>등락률</stp>
        <stp/>
        <stp/>
        <tr r="BN50" s="1"/>
      </tp>
      <tp>
        <v>0</v>
        <stp/>
        <stp>P</stp>
        <stp>0</stp>
        <stp>STK</stp>
        <stp>411060</stp>
        <stp>등락률</stp>
        <stp/>
        <stp/>
        <tr r="BN63" s="1"/>
      </tp>
      <tp>
        <v>0</v>
        <stp/>
        <stp>P</stp>
        <stp>0</stp>
        <stp>STK</stp>
        <stp>302190</stp>
        <stp>등락률</stp>
        <stp/>
        <stp/>
        <tr r="BN60" s="1"/>
      </tp>
      <tp>
        <v>0</v>
        <stp/>
        <stp>P</stp>
        <stp>0</stp>
        <stp>STK</stp>
        <stp>329750</stp>
        <stp>등락률</stp>
        <stp/>
        <stp/>
        <tr r="BN53" s="1"/>
      </tp>
    </main>
    <main first="bofaddin.rtdserver">
      <tp t="s">
        <v>#N/A Requesting Data...4292123818</v>
        <stp/>
        <stp>BDP|2659974128411633473</stp>
        <tr r="AV68" s="1"/>
      </tp>
      <tp t="s">
        <v>#N/A Requesting Data...4276735373</v>
        <stp/>
        <stp>BDP|2866936711502619451</stp>
        <tr r="AE49" s="1"/>
      </tp>
      <tp t="s">
        <v>#N/A Requesting Data...4278531243</v>
        <stp/>
        <stp>BDP|2948734681704267506</stp>
        <tr r="AL47" s="1"/>
      </tp>
      <tp t="s">
        <v>#N/A Requesting Data...4279280453</v>
        <stp/>
        <stp>BDP|4048204160699980568</stp>
        <tr r="AE14" s="1"/>
      </tp>
      <tp t="s">
        <v>#N/A Requesting Data...4277564908</v>
        <stp/>
        <stp>BDP|9852060643572256338</stp>
        <tr r="M43" s="1"/>
      </tp>
      <tp t="s">
        <v>#N/A Requesting Data...4276715657</v>
        <stp/>
        <stp>BDP|9509429526816874553</stp>
        <tr r="BT12" s="1"/>
      </tp>
      <tp t="s">
        <v>#N/A Requesting Data...4275844467</v>
        <stp/>
        <stp>BDP|8031689675845424057</stp>
        <tr r="BC8" s="1"/>
      </tp>
      <tp t="s">
        <v>#N/A Requesting Data...4278363080</v>
        <stp/>
        <stp>BDP|3435490748169782603</stp>
        <tr r="BB67" s="1"/>
      </tp>
      <tp t="s">
        <v>#N/A Requesting Data...4281152824</v>
        <stp/>
        <stp>BDP|8241510033235336719</stp>
        <tr r="S17" s="1"/>
      </tp>
      <tp t="s">
        <v>#N/A Requesting Data...4290823250</v>
        <stp/>
        <stp>BDP|4137714587282456512</stp>
        <tr r="BM13" s="1"/>
      </tp>
      <tp t="s">
        <v>#N/A Requesting Data...4286217201</v>
        <stp/>
        <stp>BDP|7237905724647493720</stp>
        <tr r="L13" s="1"/>
      </tp>
      <tp t="s">
        <v>#N/A Requesting Data...4286108637</v>
        <stp/>
        <stp>BDP|6102392598265524547</stp>
        <tr r="L18" s="1"/>
      </tp>
      <tp t="s">
        <v>#N/A Requesting Data...4285865128</v>
        <stp/>
        <stp>BDP|9223221055442017036</stp>
        <tr r="BU29" s="1"/>
      </tp>
      <tp t="s">
        <v>#N/A Requesting Data...4283429069</v>
        <stp/>
        <stp>BDP|2804784195737085739</stp>
        <tr r="L43" s="1"/>
      </tp>
      <tp t="s">
        <v>#N/A Requesting Data...4284374042</v>
        <stp/>
        <stp>BDP|9660308801915767372</stp>
        <tr r="T61" s="1"/>
      </tp>
      <tp t="e">
        <v>#N/A</v>
        <stp/>
        <stp>BDH|4083477491430537549</stp>
        <tr r="A5" s="1"/>
      </tp>
      <tp t="s">
        <v>#N/A Requesting Data...4287926627</v>
        <stp/>
        <stp>BDP|8066203854311792274</stp>
        <tr r="BC68" s="1"/>
      </tp>
      <tp t="s">
        <v>#N/A Requesting Data...4290011215</v>
        <stp/>
        <stp>BDP|8744444574300013736</stp>
        <tr r="AE36" s="1"/>
      </tp>
      <tp t="s">
        <v>#N/A Requesting Data...4291133215</v>
        <stp/>
        <stp>BDP|6866994723518597929</stp>
        <tr r="I14" s="4"/>
      </tp>
      <tp t="s">
        <v>#N/A Requesting Data...4288784833</v>
        <stp/>
        <stp>BDP|8852740491139384241</stp>
        <tr r="BT66" s="1"/>
      </tp>
      <tp t="s">
        <v>#N/A Requesting Data...4293151882</v>
        <stp/>
        <stp>BDP|6071157692156840543</stp>
        <tr r="AE13" s="1"/>
      </tp>
      <tp t="s">
        <v>#N/A Requesting Data...4288669662</v>
        <stp/>
        <stp>BDP|5619850760624731282</stp>
        <tr r="AK19" s="1"/>
      </tp>
      <tp t="s">
        <v>#N/A Requesting Data...4291749241</v>
        <stp/>
        <stp>BDP|7650988731015820557</stp>
        <tr r="H9" s="4"/>
      </tp>
      <tp t="s">
        <v>#N/A Requesting Data...4292097877</v>
        <stp/>
        <stp>BDP|5556348055179167777</stp>
        <tr r="AL23" s="1"/>
      </tp>
      <tp t="s">
        <v>#N/A Requesting Data...4293877420</v>
        <stp/>
        <stp>BDP|9374927998687339384</stp>
        <tr r="AK16" s="1"/>
      </tp>
      <tp t="s">
        <v>#N/A Requesting Data...4294418324</v>
        <stp/>
        <stp>BDP|1606117988216841344</stp>
        <tr r="AL17" s="1"/>
      </tp>
      <tp t="s">
        <v>#N/A Requesting Data...4294423433</v>
        <stp/>
        <stp>BDP|6245362597240313131</stp>
        <tr r="AU64" s="1"/>
      </tp>
      <tp t="s">
        <v>#N/A Requesting Data...4293988319</v>
        <stp/>
        <stp>BDP|8921909278872231907</stp>
        <tr r="BM54" s="1"/>
      </tp>
      <tp t="s">
        <v>#N/A Requesting Data...4294732499</v>
        <stp/>
        <stp>BDP|9672486968524203223</stp>
        <tr r="L52" s="1"/>
      </tp>
      <tp t="s">
        <v>#N/A Requesting Data...3212313319</v>
        <stp/>
        <stp>BDP|2631449517309774348</stp>
        <tr r="BM43" s="1"/>
      </tp>
      <tp t="s">
        <v>#N/A Requesting Data...267705016</v>
        <stp/>
        <stp>BDP|1024843869955186782</stp>
        <tr r="I21" s="4"/>
      </tp>
      <tp t="s">
        <v>#N/A Requesting Data...390461809</v>
        <stp/>
        <stp>BDP|9831050762700023156</stp>
        <tr r="BT49" s="1"/>
      </tp>
      <tp t="s">
        <v>#N/A Requesting Data...723955346</v>
        <stp/>
        <stp>BDP|2431860319831087410</stp>
        <tr r="AU54" s="1"/>
      </tp>
      <tp t="s">
        <v>#N/A Requesting Data...598849018</v>
        <stp/>
        <stp>BDP|7850142069628947661</stp>
        <tr r="AD56" s="1"/>
      </tp>
      <tp t="s">
        <v>#N/A Requesting Data...2459857886</v>
        <stp/>
        <stp>BDP|9380256935503902528</stp>
        <tr r="J14" s="4"/>
      </tp>
      <tp t="s">
        <v>#N/A Requesting Data...2908212312</v>
        <stp/>
        <stp>BDP|4656947418705081729</stp>
        <tr r="AU67" s="1"/>
      </tp>
      <tp t="s">
        <v>#N/A Requesting Data...4273491932</v>
        <stp/>
        <stp>BDP|3691109123489358788</stp>
        <tr r="AL29" s="1"/>
      </tp>
      <tp t="s">
        <v>#N/A Requesting Data...2998104501</v>
        <stp/>
        <stp>BDP|7723276323850514984</stp>
        <tr r="AD64" s="1"/>
      </tp>
      <tp t="s">
        <v>#N/A Requesting Data...3328133499</v>
        <stp/>
        <stp>BDP|3655390111847678870</stp>
        <tr r="BT9" s="1"/>
      </tp>
      <tp t="s">
        <v>#N/A Requesting Data...784504985</v>
        <stp/>
        <stp>BDP|6934680455772811915</stp>
        <tr r="I11" s="4"/>
      </tp>
      <tp t="s">
        <v>#N/A Requesting Data...2533277687</v>
        <stp/>
        <stp>BDP|3357956009814849052</stp>
        <tr r="L8" s="1"/>
      </tp>
      <tp t="s">
        <v>#N/A Requesting Data...774651109</v>
        <stp/>
        <stp>BDP|8361774204762715358</stp>
        <tr r="AE22" s="1"/>
      </tp>
      <tp t="s">
        <v>#N/A Requesting Data...1315933418</v>
        <stp/>
        <stp>BDP|6722997649024012145</stp>
        <tr r="AU10" s="1"/>
      </tp>
      <tp t="s">
        <v>#N/A Requesting Data...3839016965</v>
        <stp/>
        <stp>BDP|5822295562608670766</stp>
        <tr r="AD32" s="1"/>
      </tp>
      <tp t="s">
        <v>#N/A Requesting Data...3658489692</v>
        <stp/>
        <stp>BDP|8495267456188080949</stp>
        <tr r="BT29" s="1"/>
      </tp>
      <tp t="s">
        <v>#N/A Requesting Data...3273788481</v>
        <stp/>
        <stp>BDP|8134265343706474616</stp>
        <tr r="S13" s="1"/>
      </tp>
      <tp t="s">
        <v>#N/A Requesting Data...757799773</v>
        <stp/>
        <stp>BDP|9858221988589144420</stp>
        <tr r="AV38" s="1"/>
      </tp>
      <tp t="s">
        <v>#N/A Requesting Data...245325296</v>
        <stp/>
        <stp>BDP|9299914699615971261</stp>
        <tr r="BN19" s="1"/>
      </tp>
      <tp t="s">
        <v>#N/A Requesting Data...1164314615</v>
        <stp/>
        <stp>BDP|7691058385503283212</stp>
        <tr r="L15" s="1"/>
      </tp>
      <tp t="s">
        <v>#N/A Requesting Data...1250796511</v>
        <stp/>
        <stp>BDP|4127809121645070490</stp>
        <tr r="AD13" s="1"/>
      </tp>
      <tp t="s">
        <v>#N/A Requesting Data...2622487457</v>
        <stp/>
        <stp>BDP|2826978830590476751</stp>
        <tr r="S63" s="1"/>
      </tp>
      <tp t="s">
        <v>#N/A Requesting Data...140307464</v>
        <stp/>
        <stp>BDP|9630696071134791344</stp>
        <tr r="M63" s="1"/>
      </tp>
      <tp t="s">
        <v>#N/A Requesting Data...549611429</v>
        <stp/>
        <stp>BDP|6523089346038550536</stp>
        <tr r="T17" s="1"/>
      </tp>
      <tp t="s">
        <v>#N/A Requesting Data...4015016580</v>
        <stp/>
        <stp>BDP|9591564973773550789</stp>
        <tr r="AD36" s="1"/>
      </tp>
      <tp t="s">
        <v>#N/A Requesting Data...1335114341</v>
        <stp/>
        <stp>BDP|5383464191765199270</stp>
        <tr r="AV56" s="1"/>
      </tp>
      <tp t="s">
        <v>#N/A Requesting Data...2514353957</v>
        <stp/>
        <stp>BDP|9888517523538964905</stp>
        <tr r="AL19" s="1"/>
      </tp>
      <tp t="s">
        <v>#N/A Requesting Data...3875146131</v>
        <stp/>
        <stp>BDP|4736925350996034164</stp>
        <tr r="AU45" s="1"/>
      </tp>
      <tp t="s">
        <v>#N/A Requesting Data...191633980</v>
        <stp/>
        <stp>BDP|5753908771057178377</stp>
        <tr r="AK61" s="1"/>
      </tp>
      <tp t="s">
        <v>#N/A Requesting Data...3748203761</v>
        <stp/>
        <stp>BDP|6914910054013425680</stp>
        <tr r="BC37" s="1"/>
      </tp>
      <tp t="s">
        <v>#N/A Requesting Data...1736006062</v>
        <stp/>
        <stp>BDP|9873523371415918155</stp>
        <tr r="BN52" s="1"/>
      </tp>
      <tp t="s">
        <v>#N/A Requesting Data...3491495227</v>
        <stp/>
        <stp>BDP|2225792497452625629</stp>
        <tr r="AD26" s="1"/>
      </tp>
      <tp t="s">
        <v>#N/A Requesting Data...1120725227</v>
        <stp/>
        <stp>BDP|6610062520669072582</stp>
        <tr r="BT52" s="1"/>
      </tp>
      <tp t="s">
        <v>#N/A Requesting Data...613770917</v>
        <stp/>
        <stp>BDP|7098897602015261205</stp>
        <tr r="BC38" s="1"/>
      </tp>
      <tp t="s">
        <v>#N/A Requesting Data...3364674773</v>
        <stp/>
        <stp>BDP|5042215649438103368</stp>
        <tr r="T54" s="1"/>
      </tp>
      <tp t="s">
        <v>#N/A Requesting Data...3334877185</v>
        <stp/>
        <stp>BDP|6598898303147508165</stp>
        <tr r="L6" s="1"/>
      </tp>
      <tp t="s">
        <v>#N/A Requesting Data...3951826546</v>
        <stp/>
        <stp>BDP|5526086435698119654</stp>
        <tr r="BT65" s="1"/>
      </tp>
      <tp t="s">
        <v>#N/A Requesting Data...2308302911</v>
        <stp/>
        <stp>BDP|8836238757115451254</stp>
        <tr r="AL49" s="1"/>
      </tp>
      <tp t="s">
        <v>#N/A Requesting Data...3613912126</v>
        <stp/>
        <stp>BDP|8543490843600060029</stp>
        <tr r="BT21" s="1"/>
      </tp>
      <tp t="s">
        <v>#N/A Requesting Data...613306311</v>
        <stp/>
        <stp>BDP|8151685987216863840</stp>
        <tr r="AL13" s="1"/>
      </tp>
      <tp t="s">
        <v>#N/A Requesting Data...3977075253</v>
        <stp/>
        <stp>BDP|8574820964479350721</stp>
        <tr r="AE17" s="1"/>
      </tp>
      <tp t="s">
        <v>#N/A Requesting Data...4056031958</v>
        <stp/>
        <stp>BDP|1867747348859495326</stp>
        <tr r="BB64" s="1"/>
        <tr r="H10" s="4"/>
      </tp>
      <tp t="s">
        <v>#N/A Requesting Data...2340290004</v>
        <stp/>
        <stp>BDP|9739683548644580717</stp>
        <tr r="AE21" s="1"/>
      </tp>
      <tp t="s">
        <v>#N/A Requesting Data...2556708762</v>
        <stp/>
        <stp>BDP|6872139334745991965</stp>
        <tr r="BM14" s="1"/>
      </tp>
      <tp t="s">
        <v>#N/A Requesting Data...4064494870</v>
        <stp/>
        <stp>BDP|6688717882635378407</stp>
        <tr r="BC46" s="1"/>
      </tp>
      <tp t="s">
        <v>#N/A Requesting Data...590168143</v>
        <stp/>
        <stp>BDP|2792282492723907232</stp>
        <tr r="BU7" s="1"/>
      </tp>
      <tp t="s">
        <v>#N/A Requesting Data...832681176</v>
        <stp/>
        <stp>BDP|1348991025672160091</stp>
        <tr r="BT16" s="1"/>
      </tp>
      <tp t="s">
        <v>#N/A Requesting Data...2616026546</v>
        <stp/>
        <stp>BDP|6668095376641417961</stp>
        <tr r="BT22" s="1"/>
      </tp>
      <tp t="s">
        <v>#N/A Requesting Data...268703321</v>
        <stp/>
        <stp>BDP|2434282424448499349</stp>
        <tr r="BC54" s="1"/>
      </tp>
      <tp t="s">
        <v>#N/A Requesting Data...3364613089</v>
        <stp/>
        <stp>BDP|4203263569669024046</stp>
        <tr r="AL20" s="1"/>
      </tp>
      <tp t="s">
        <v>#N/A Requesting Data...3703786307</v>
        <stp/>
        <stp>BDP|4599386861129732184</stp>
        <tr r="AV37" s="1"/>
      </tp>
      <tp t="s">
        <v>#N/A Requesting Data...1458395733</v>
        <stp/>
        <stp>BDP|4643818558439422981</stp>
        <tr r="AU6" s="1"/>
      </tp>
      <tp t="s">
        <v>#N/A Requesting Data...1214763795</v>
        <stp/>
        <stp>BDP|7397714386275655417</stp>
        <tr r="AD21" s="1"/>
      </tp>
      <tp t="s">
        <v>#N/A Requesting Data...3781964332</v>
        <stp/>
        <stp>BDP|7841110950002804825</stp>
        <tr r="J11" s="4"/>
      </tp>
      <tp t="s">
        <v>#N/A Requesting Data...304849968</v>
        <stp/>
        <stp>BDP|6313907900267084132</stp>
        <tr r="AE62" s="1"/>
      </tp>
      <tp t="s">
        <v>#N/A Requesting Data...1750503366</v>
        <stp/>
        <stp>BDP|2879608784827896227</stp>
        <tr r="AK63" s="1"/>
      </tp>
      <tp t="s">
        <v>#N/A Requesting Data...2960966452</v>
        <stp/>
        <stp>BDP|1278998019975041555</stp>
        <tr r="T56" s="1"/>
      </tp>
      <tp t="s">
        <v>#N/A Requesting Data...1222528616</v>
        <stp/>
        <stp>BDP|5311357691284289218</stp>
        <tr r="J9" s="4"/>
      </tp>
      <tp t="s">
        <v>#N/A Requesting Data...66460167</v>
        <stp/>
        <stp>BDP|4448704737338131178</stp>
        <tr r="AE68" s="1"/>
      </tp>
      <tp t="s">
        <v>#N/A Requesting Data...3897680864</v>
        <stp/>
        <stp>BDP|1606928983690348915</stp>
        <tr r="M14" s="1"/>
      </tp>
    </main>
    <main first="infomax.xlrtd">
      <tp>
        <v>25545</v>
        <stp/>
        <stp>P</stp>
        <stp>0</stp>
        <stp>STK</stp>
        <stp>487230</stp>
        <stp>현재가</stp>
        <stp/>
        <stp/>
        <tr r="BM29" s="1"/>
      </tp>
      <tp>
        <v>17705</v>
        <stp/>
        <stp>P</stp>
        <stp>0</stp>
        <stp>STK</stp>
        <stp>283580</stp>
        <stp>현재가</stp>
        <stp/>
        <stp/>
        <tr r="BM49" s="1"/>
      </tp>
    </main>
    <main first="bofaddin.rtdserver">
      <tp t="s">
        <v>#N/A Requesting Data...1034275569</v>
        <stp/>
        <stp>BDP|5998061091335145370</stp>
        <tr r="AL48" s="1"/>
      </tp>
      <tp t="s">
        <v>#N/A Requesting Data...2480563193</v>
        <stp/>
        <stp>BDP|1654898695558136229</stp>
        <tr r="BT53" s="1"/>
      </tp>
      <tp t="s">
        <v>#N/A Requesting Data...1213932791</v>
        <stp/>
        <stp>BDP|8884166310013036178</stp>
        <tr r="S18" s="1"/>
      </tp>
      <tp t="s">
        <v>#N/A Requesting Data...3316412682</v>
        <stp/>
        <stp>BDP|6000001438586870996</stp>
        <tr r="AE48" s="1"/>
      </tp>
      <tp t="s">
        <v>#N/A Requesting Data...342564624</v>
        <stp/>
        <stp>BDP|9849666020904533379</stp>
        <tr r="AK35" s="1"/>
      </tp>
      <tp t="s">
        <v>#N/A Requesting Data...1714071246</v>
        <stp/>
        <stp>BDP|7820920841035727514</stp>
        <tr r="L44" s="1"/>
      </tp>
      <tp t="s">
        <v>#N/A Requesting Data...437547655</v>
        <stp/>
        <stp>BDP|2344828057820647537</stp>
        <tr r="J10" s="4"/>
      </tp>
      <tp t="s">
        <v>#N/A Requesting Data...779717193</v>
        <stp/>
        <stp>BDP|5535907945362549058</stp>
        <tr r="BN23" s="1"/>
      </tp>
      <tp t="s">
        <v>#N/A Requesting Data...2662677232</v>
        <stp/>
        <stp>BDP|3594310716053724823</stp>
        <tr r="AK66" s="1"/>
      </tp>
      <tp t="s">
        <v>#N/A Requesting Data...372119558</v>
        <stp/>
        <stp>BDP|1750044013008858304</stp>
        <tr r="AV54" s="1"/>
      </tp>
      <tp t="s">
        <v>#N/A Requesting Data...2854003270</v>
        <stp/>
        <stp>BDP|8874929801708352209</stp>
        <tr r="AD19" s="1"/>
      </tp>
      <tp t="s">
        <v>#N/A Requesting Data...2445482027</v>
        <stp/>
        <stp>BDP|3260714544503135888</stp>
        <tr r="L16" s="1"/>
      </tp>
      <tp t="s">
        <v>#N/A Requesting Data...3122119505</v>
        <stp/>
        <stp>BDP|9740997881624601771</stp>
        <tr r="BN21" s="1"/>
      </tp>
      <tp t="s">
        <v>#N/A Requesting Data...1152984913</v>
        <stp/>
        <stp>BDP|5613371428539101654</stp>
        <tr r="S15" s="1"/>
      </tp>
      <tp t="s">
        <v>#N/A Requesting Data...2334347360</v>
        <stp/>
        <stp>BDP|1262935928039127856</stp>
        <tr r="S52" s="1"/>
      </tp>
      <tp t="s">
        <v>#N/A Requesting Data...3758058293</v>
        <stp/>
        <stp>BDP|2552017666226942999</stp>
        <tr r="BU66" s="1"/>
      </tp>
      <tp t="s">
        <v>#N/A Requesting Data...2936359931</v>
        <stp/>
        <stp>BDP|4693179730329143433</stp>
        <tr r="BN11" s="1"/>
      </tp>
      <tp t="s">
        <v>#N/A Requesting Data...3280187422</v>
        <stp/>
        <stp>BDP|3002044486438267810</stp>
        <tr r="BB11" s="1"/>
      </tp>
      <tp t="s">
        <v>#N/A Requesting Data...2719839606</v>
        <stp/>
        <stp>BDP|3256110844308375504</stp>
        <tr r="BU63" s="1"/>
      </tp>
      <tp t="s">
        <v>#N/A Requesting Data...1223870338</v>
        <stp/>
        <stp>BDP|4320501622700049854</stp>
        <tr r="L14" s="1"/>
      </tp>
      <tp t="s">
        <v>#N/A Requesting Data...623205601</v>
        <stp/>
        <stp>BDP|6205308411346649904</stp>
        <tr r="H11" s="4"/>
      </tp>
      <tp t="s">
        <v>#N/A Requesting Data...2830675402</v>
        <stp/>
        <stp>BDP|8551836584143050079</stp>
        <tr r="AL27" s="1"/>
      </tp>
      <tp t="s">
        <v>#N/A Requesting Data...3016216672</v>
        <stp/>
        <stp>BDP|4994410657784311568</stp>
        <tr r="AU37" s="1"/>
      </tp>
      <tp t="s">
        <v>#N/A Requesting Data...1359042372</v>
        <stp/>
        <stp>BDP|5305022298981625946</stp>
        <tr r="AD61" s="1"/>
      </tp>
      <tp t="s">
        <v>#N/A Requesting Data...3824613779</v>
        <stp/>
        <stp>BDP|4169999310370188823</stp>
        <tr r="BM65" s="1"/>
      </tp>
      <tp t="s">
        <v>#N/A Requesting Data...3817838804</v>
        <stp/>
        <stp>BDP|5109753048634212679</stp>
        <tr r="BC64" s="1"/>
        <tr r="I10" s="4"/>
      </tp>
      <tp t="s">
        <v>#N/A Requesting Data...1940250445</v>
        <stp/>
        <stp>BDP|3355242668491359252</stp>
        <tr r="BU54" s="1"/>
      </tp>
      <tp t="s">
        <v>#N/A Requesting Data...3244995125</v>
        <stp/>
        <stp>BDP|1884327801277774123</stp>
        <tr r="AK54" s="1"/>
      </tp>
      <tp t="s">
        <v>#N/A Requesting Data...2798223549</v>
        <stp/>
        <stp>BDP|7445853131861674987</stp>
        <tr r="BN65" s="1"/>
      </tp>
      <tp t="s">
        <v>#N/A Requesting Data...3980277728</v>
        <stp/>
        <stp>BDP|3148796531965287642</stp>
        <tr r="BB56" s="1"/>
      </tp>
      <tp t="s">
        <v>#N/A Requesting Data...4216857934</v>
        <stp/>
        <stp>BDP|8254649787096542470</stp>
        <tr r="AK34" s="1"/>
      </tp>
      <tp t="s">
        <v>#N/A Requesting Data...2586785135</v>
        <stp/>
        <stp>BDP|5396130007634346474</stp>
        <tr r="AL62" s="1"/>
      </tp>
      <tp t="s">
        <v>#N/A Requesting Data...644819201</v>
        <stp/>
        <stp>BDP|7725668412386889287</stp>
        <tr r="T8" s="1"/>
      </tp>
      <tp t="s">
        <v>#N/A Requesting Data...543137906</v>
        <stp/>
        <stp>BDP|7082222520406186551</stp>
        <tr r="T44" s="1"/>
      </tp>
      <tp t="s">
        <v>#N/A Requesting Data...1758903960</v>
        <stp/>
        <stp>BDP|1260836430117159977</stp>
        <tr r="AE20" s="1"/>
      </tp>
      <tp t="s">
        <v>#N/A Requesting Data...2308295185</v>
        <stp/>
        <stp>BDP|4903562858025345501</stp>
        <tr r="BC43" s="1"/>
      </tp>
      <tp t="s">
        <v>#N/A Requesting Data...2738486478</v>
        <stp/>
        <stp>BDP|7945404689559260679</stp>
        <tr r="BU47" s="1"/>
      </tp>
      <tp t="s">
        <v>#N/A Requesting Data...1795918655</v>
        <stp/>
        <stp>BDP|4481424270631421275</stp>
        <tr r="BN20" s="1"/>
      </tp>
    </main>
    <main first="infomax.xlrtd">
      <tp>
        <v>67705</v>
        <stp/>
        <stp>P</stp>
        <stp>0</stp>
        <stp>STK</stp>
        <stp>456600</stp>
        <stp>현재가</stp>
        <stp/>
        <stp/>
        <tr r="BM30" s="1"/>
      </tp>
      <tp>
        <v>42040</v>
        <stp/>
        <stp>P</stp>
        <stp>0</stp>
        <stp>STK</stp>
        <stp>451060</stp>
        <stp>현재가</stp>
        <stp/>
        <stp/>
        <tr r="BM47" s="1"/>
      </tp>
    </main>
    <main first="bofaddin.rtdserver">
      <tp t="s">
        <v>#N/A Requesting Data...3302115736</v>
        <stp/>
        <stp>BDP|8988977841476114640</stp>
        <tr r="AD29" s="1"/>
      </tp>
      <tp t="s">
        <v>#N/A Requesting Data...3313890044</v>
        <stp/>
        <stp>BDP|9312907214293954744</stp>
        <tr r="BT48" s="1"/>
      </tp>
      <tp t="s">
        <v>#N/A Requesting Data...1710212457</v>
        <stp/>
        <stp>BDP|7939677932765350276</stp>
        <tr r="AE64" s="1"/>
      </tp>
      <tp t="s">
        <v>#N/A Requesting Data...2077642507</v>
        <stp/>
        <stp>BDP|9091799303493379817</stp>
        <tr r="AE30" s="1"/>
      </tp>
      <tp t="s">
        <v>#N/A Requesting Data...640115282</v>
        <stp/>
        <stp>BDP|4901485308911171462</stp>
        <tr r="BM56" s="1"/>
      </tp>
      <tp t="s">
        <v>#N/A Requesting Data...288092024</v>
        <stp/>
        <stp>BDP|4047262288728420343</stp>
        <tr r="AD34" s="1"/>
      </tp>
      <tp t="s">
        <v>#N/A Requesting Data...3882053354</v>
        <stp/>
        <stp>BDP|7326065340511372793</stp>
        <tr r="AD12" s="1"/>
      </tp>
      <tp t="s">
        <v>#N/A Requesting Data...3143693293</v>
        <stp/>
        <stp>BDP|5190636238220453521</stp>
        <tr r="BN48" s="1"/>
      </tp>
      <tp t="s">
        <v>#N/A Requesting Data...934130984</v>
        <stp/>
        <stp>BDP|3529651900220782048</stp>
        <tr r="AL6" s="1"/>
      </tp>
      <tp t="s">
        <v>#N/A Requesting Data...3779929953</v>
        <stp/>
        <stp>BDP|1923455718778263954</stp>
        <tr r="AE15" s="1"/>
      </tp>
      <tp t="s">
        <v>#N/A Requesting Data...4292429066</v>
        <stp/>
        <stp>BDP|5014384389489348210</stp>
        <tr r="AE32" s="1"/>
      </tp>
      <tp t="s">
        <v>#N/A Requesting Data...2139847976</v>
        <stp/>
        <stp>BDP|3773360332575878383</stp>
        <tr r="BM67" s="1"/>
      </tp>
      <tp t="s">
        <v>#N/A Requesting Data...3598703699</v>
        <stp/>
        <stp>BDP|5821654421204833042</stp>
        <tr r="S67" s="1"/>
      </tp>
      <tp t="s">
        <v>#N/A Requesting Data...3426205384</v>
        <stp/>
        <stp>BDP|3956248268592732038</stp>
        <tr r="AD46" s="1"/>
      </tp>
      <tp t="s">
        <v>#N/A Requesting Data...3916195369</v>
        <stp/>
        <stp>BDP|3952385256081205139</stp>
        <tr r="BT50" s="1"/>
      </tp>
      <tp t="s">
        <v>#N/A Requesting Data...4192098163</v>
        <stp/>
        <stp>BDP|6874632944992823331</stp>
        <tr r="L64" s="1"/>
      </tp>
      <tp t="s">
        <v>#N/A Requesting Data...1128968662</v>
        <stp/>
        <stp>BDP|5490052811633703223</stp>
        <tr r="BM16" s="1"/>
      </tp>
      <tp t="s">
        <v>#N/A Requesting Data...3525903914</v>
        <stp/>
        <stp>BDP|3579637443701238521</stp>
        <tr r="BU56" s="1"/>
      </tp>
    </main>
    <main first="infomax.xlrtd">
      <tp>
        <v>16845</v>
        <stp/>
        <stp>P</stp>
        <stp>0</stp>
        <stp>STK</stp>
        <stp>449180</stp>
        <stp>현재가</stp>
        <stp/>
        <stp/>
        <tr r="BM7" s="1"/>
      </tp>
    </main>
    <main first="bofaddin.rtdserver">
      <tp t="s">
        <v>#N/A Requesting Data...2286731607</v>
        <stp/>
        <stp>BDP|9249420179778501471</stp>
        <tr r="BM57" s="1"/>
      </tp>
      <tp t="s">
        <v>#N/A Requesting Data...445924350</v>
        <stp/>
        <stp>BDP|1293841394914387297</stp>
        <tr r="AV39" s="1"/>
      </tp>
      <tp t="s">
        <v>#N/A Requesting Data...3380283442</v>
        <stp/>
        <stp>BDP|6476085933542250156</stp>
        <tr r="BU8" s="1"/>
      </tp>
      <tp t="s">
        <v>#N/A Requesting Data...901012904</v>
        <stp/>
        <stp>BDP|6814852590689413809</stp>
        <tr r="AE24" s="1"/>
      </tp>
      <tp t="s">
        <v>#N/A Requesting Data...979541392</v>
        <stp/>
        <stp>BDP|1087788901288864886</stp>
        <tr r="M44" s="1"/>
      </tp>
      <tp t="s">
        <v>#N/A Requesting Data...1694495873</v>
        <stp/>
        <stp>BDP|4156471221206863264</stp>
        <tr r="AV10" s="1"/>
      </tp>
      <tp t="s">
        <v>#N/A Requesting Data...366505520</v>
        <stp/>
        <stp>BDP|4625495681066222852</stp>
        <tr r="BM51" s="1"/>
      </tp>
      <tp t="s">
        <v>#N/A Requesting Data...2669104667</v>
        <stp/>
        <stp>BDP|6210092118500840143</stp>
        <tr r="T21" s="1"/>
      </tp>
      <tp t="s">
        <v>#N/A Requesting Data...3197184406</v>
        <stp/>
        <stp>BDP|9477185183597677159</stp>
        <tr r="AD47" s="1"/>
      </tp>
      <tp t="s">
        <v>#N/A Requesting Data...2689181784</v>
        <stp/>
        <stp>BDP|2357594643115720031</stp>
        <tr r="AD18" s="1"/>
      </tp>
      <tp t="s">
        <v>#N/A Requesting Data...2646224310</v>
        <stp/>
        <stp>BDP|1600766711321982058</stp>
        <tr r="BU30" s="1"/>
      </tp>
      <tp t="s">
        <v>#N/A Requesting Data...347411023</v>
        <stp/>
        <stp>BDP|6169111439490891237</stp>
        <tr r="M62" s="1"/>
      </tp>
      <tp t="s">
        <v>#N/A Requesting Data...1451665800</v>
        <stp/>
        <stp>BDP|8048029595534603315</stp>
        <tr r="AU43" s="1"/>
      </tp>
      <tp t="s">
        <v>#N/A Requesting Data...2370988700</v>
        <stp/>
        <stp>BDP|4726230773337138020</stp>
        <tr r="AK12" s="1"/>
      </tp>
      <tp t="s">
        <v>#N/A Requesting Data...2059016846</v>
        <stp/>
        <stp>BDP|5981018533542808384</stp>
        <tr r="BN9" s="1"/>
      </tp>
      <tp t="s">
        <v>#N/A Requesting Data...1337722289</v>
        <stp/>
        <stp>BDP|3933797965320973572</stp>
        <tr r="BB40" s="1"/>
      </tp>
      <tp t="s">
        <v>#N/A Requesting Data...3948071665</v>
        <stp/>
        <stp>BDP|5506953538518385027</stp>
        <tr r="J13" s="4"/>
      </tp>
      <tp t="s">
        <v>#N/A Requesting Data...3530010763</v>
        <stp/>
        <stp>BDP|2987916194355490019</stp>
        <tr r="BT51" s="1"/>
      </tp>
      <tp t="s">
        <v>#N/A Requesting Data...1089967419</v>
        <stp/>
        <stp>BDP|7244732759432032016</stp>
        <tr r="BM11" s="1"/>
      </tp>
      <tp t="s">
        <v>#N/A Requesting Data...1677246497</v>
        <stp/>
        <stp>BDP|4493748106094745083</stp>
        <tr r="BT56" s="1"/>
      </tp>
      <tp t="s">
        <v>#N/A Requesting Data...2820263770</v>
        <stp/>
        <stp>BDP|7988701043422623128</stp>
        <tr r="BM18" s="1"/>
      </tp>
      <tp t="s">
        <v>#N/A Requesting Data...2702648390</v>
        <stp/>
        <stp>BDP|9529960657561228393</stp>
        <tr r="AE19" s="1"/>
      </tp>
      <tp t="s">
        <v>#N/A Requesting Data...2271395123</v>
        <stp/>
        <stp>BDP|4993619297374658856</stp>
        <tr r="BT20" s="1"/>
      </tp>
      <tp t="s">
        <v>#N/A Requesting Data...1085433416</v>
        <stp/>
        <stp>BDP|4772487603433526452</stp>
        <tr r="AV44" s="1"/>
      </tp>
      <tp t="s">
        <v>#N/A Requesting Data...954519432</v>
        <stp/>
        <stp>BDP|9279330448979276094</stp>
        <tr r="AD24" s="1"/>
      </tp>
      <tp t="s">
        <v>#N/A Requesting Data...453843384</v>
        <stp/>
        <stp>BDP|9034347825206516965</stp>
        <tr r="BN57" s="1"/>
      </tp>
      <tp t="s">
        <v>#N/A Requesting Data...3792081467</v>
        <stp/>
        <stp>BDP|4352356570506544139</stp>
        <tr r="BT44" s="1"/>
      </tp>
      <tp t="s">
        <v>#N/A Requesting Data...2044773316</v>
        <stp/>
        <stp>BDP|8565721642414545806</stp>
        <tr r="AD52" s="1"/>
      </tp>
      <tp t="s">
        <v>#N/A Requesting Data...1880980247</v>
        <stp/>
        <stp>BDP|4753512452410332367</stp>
        <tr r="BB45" s="1"/>
      </tp>
      <tp t="s">
        <v>#N/A Requesting Data...2555553650</v>
        <stp/>
        <stp>BDP|3431653806352908088</stp>
        <tr r="BM23" s="1"/>
      </tp>
      <tp t="s">
        <v>#N/A Requesting Data...2360556183</v>
        <stp/>
        <stp>BDP|3423178518255401197</stp>
        <tr r="T63" s="1"/>
      </tp>
    </main>
    <main first="infomax.xlrtd">
      <tp>
        <v>16835</v>
        <stp/>
        <stp>P</stp>
        <stp>0</stp>
        <stp>STK</stp>
        <stp>160580</stp>
        <stp>현재가</stp>
        <stp/>
        <stp/>
        <tr r="BM66" s="1"/>
      </tp>
    </main>
    <main first="bofaddin.rtdserver">
      <tp t="s">
        <v>#N/A Requesting Data...2327186500</v>
        <stp/>
        <stp>BDP|4194954990215872147</stp>
        <tr r="M19" s="1"/>
      </tp>
      <tp t="s">
        <v>#N/A Requesting Data...2845138554</v>
        <stp/>
        <stp>BDP|7906281850503746380</stp>
        <tr r="AK52" s="1"/>
      </tp>
      <tp t="s">
        <v>#N/A Requesting Data...3155060722</v>
        <stp/>
        <stp>BDP|8025984260646344157</stp>
        <tr r="AL14" s="1"/>
      </tp>
      <tp t="s">
        <v>#N/A Requesting Data...1544706569</v>
        <stp/>
        <stp>BDP|8678880925760153252</stp>
        <tr r="AK25" s="1"/>
      </tp>
      <tp t="s">
        <v>#N/A Requesting Data...1914893644</v>
        <stp/>
        <stp>BDP|1329414306995358059</stp>
        <tr r="BT55" s="1"/>
      </tp>
      <tp t="s">
        <v>#N/A Requesting Data...1408979350</v>
        <stp/>
        <stp>BDP|8490010992619281872</stp>
        <tr r="BT13" s="1"/>
      </tp>
      <tp t="s">
        <v>#N/A Requesting Data...1386768758</v>
        <stp/>
        <stp>BDP|1892994716630119905</stp>
        <tr r="BN67" s="1"/>
      </tp>
      <tp t="s">
        <v>#N/A Requesting Data...3693573321</v>
        <stp/>
        <stp>BDP|5405620637809732938</stp>
        <tr r="T13" s="1"/>
      </tp>
      <tp t="s">
        <v>#N/A Requesting Data...3912696994</v>
        <stp/>
        <stp>BDP|1248982596152953306</stp>
        <tr r="BN6" s="1"/>
      </tp>
    </main>
    <main first="infomax.xlrtd">
      <tp>
        <v>13300</v>
        <stp/>
        <stp>P</stp>
        <stp>0</stp>
        <stp>STK</stp>
        <stp>0173Y0</stp>
        <stp>현재가</stp>
        <stp/>
        <stp/>
        <tr r="AD28" s="1"/>
      </tp>
      <tp>
        <v>24435</v>
        <stp/>
        <stp>P</stp>
        <stp>0</stp>
        <stp>STK</stp>
        <stp>0167A0</stp>
        <stp>현재가</stp>
        <stp/>
        <stp/>
        <tr r="BM50" s="1"/>
      </tp>
      <tp>
        <v>28435</v>
        <stp/>
        <stp>P</stp>
        <stp>0</stp>
        <stp>STK</stp>
        <stp>411060</stp>
        <stp>현재가</stp>
        <stp/>
        <stp/>
        <tr r="BM63" s="1"/>
      </tp>
    </main>
    <main first="bofaddin.rtdserver">
      <tp t="s">
        <v>#N/A Requesting Data...4227811832</v>
        <stp/>
        <stp>BDP|2820635608934027188</stp>
        <tr r="T14" s="1"/>
      </tp>
      <tp t="s">
        <v>#N/A Requesting Data...2897454906</v>
        <stp/>
        <stp>BDP|1248493808953230794</stp>
        <tr r="AV45" s="1"/>
      </tp>
      <tp t="s">
        <v>#N/A Requesting Data...2187952216</v>
        <stp/>
        <stp>BDP|4692051850539626983</stp>
        <tr r="BT63" s="1"/>
      </tp>
      <tp t="s">
        <v>#N/A Requesting Data...2347032044</v>
        <stp/>
        <stp>BDP|5985768032518756882</stp>
        <tr r="BM34" s="1"/>
      </tp>
      <tp t="s">
        <v>#N/A Requesting Data...2797232194</v>
        <stp/>
        <stp>BDP|1889758881537754882</stp>
        <tr r="AE35" s="1"/>
      </tp>
      <tp t="s">
        <v>#N/A Requesting Data...3437695109</v>
        <stp/>
        <stp>BDP|8425228381670076302</stp>
        <tr r="AD23" s="1"/>
      </tp>
      <tp t="s">
        <v>#N/A Requesting Data...2537517997</v>
        <stp/>
        <stp>BDP|5876897484707725354</stp>
        <tr r="L56" s="1"/>
      </tp>
      <tp t="s">
        <v>#N/A Requesting Data...1840180039</v>
        <stp/>
        <stp>BDP|5566923380244822187</stp>
        <tr r="AL61" s="1"/>
      </tp>
      <tp t="s">
        <v>#N/A Requesting Data...1342271220</v>
        <stp/>
        <stp>BDP|2131720408421980560</stp>
        <tr r="AK23" s="1"/>
      </tp>
      <tp t="s">
        <v>#N/A Requesting Data...3669948057</v>
        <stp/>
        <stp>BDP|1971630038942789715</stp>
        <tr r="AE29" s="1"/>
      </tp>
      <tp t="s">
        <v>#N/A Requesting Data...3500954880</v>
        <stp/>
        <stp>BDP|6237761207495008569</stp>
        <tr r="BT47" s="1"/>
      </tp>
      <tp t="s">
        <v>#N/A Requesting Data...653636986</v>
        <stp/>
        <stp>BDP|5121997264868853319</stp>
        <tr r="AD6" s="1"/>
      </tp>
      <tp t="s">
        <v>#N/A Requesting Data...3711943014</v>
        <stp/>
        <stp>BDP|3374364621783069010</stp>
        <tr r="BB6" s="1"/>
      </tp>
    </main>
    <main first="infomax.xlrtd">
      <tp>
        <v>50040</v>
        <stp/>
        <stp>P</stp>
        <stp>0</stp>
        <stp>STK</stp>
        <stp>302190</stp>
        <stp>현재가</stp>
        <stp/>
        <stp/>
        <tr r="BM60" s="1"/>
      </tp>
    </main>
    <main first="bofaddin.rtdserver">
      <tp t="s">
        <v>#N/A Requesting Data...641722902</v>
        <stp/>
        <stp>BDP|9998876141682383564</stp>
        <tr r="AE12" s="1"/>
      </tp>
      <tp t="s">
        <v>#N/A Requesting Data...4063704318</v>
        <stp/>
        <stp>BDP|6687492532515041642</stp>
        <tr r="M67" s="1"/>
      </tp>
      <tp t="s">
        <v>#N/A Requesting Data...4212250226</v>
        <stp/>
        <stp>BDP|7520745851311141688</stp>
        <tr r="AE56" s="1"/>
      </tp>
      <tp t="s">
        <v>#N/A Requesting Data...1389881862</v>
        <stp/>
        <stp>BDP|1983965820139261136</stp>
        <tr r="I24" s="4"/>
      </tp>
      <tp t="s">
        <v>#N/A Requesting Data...585844810</v>
        <stp/>
        <stp>BDP|2873592818945618102</stp>
        <tr r="L19" s="1"/>
      </tp>
      <tp t="s">
        <v>#N/A Requesting Data...2106675367</v>
        <stp/>
        <stp>BDP|9423361695594089550</stp>
        <tr r="AU56" s="1"/>
      </tp>
      <tp t="s">
        <v>#N/A Requesting Data...4116054963</v>
        <stp/>
        <stp>BDP|7547446931615730773</stp>
        <tr r="L54" s="1"/>
      </tp>
      <tp t="s">
        <v>#N/A Requesting Data...2357851051</v>
        <stp/>
        <stp>BDP|5651514801445265747</stp>
        <tr r="AE33" s="1"/>
      </tp>
      <tp t="s">
        <v>#N/A Requesting Data...2090292020</v>
        <stp/>
        <stp>BDP|9265847664485714043</stp>
        <tr r="AD20" s="1"/>
      </tp>
      <tp t="s">
        <v>#N/A Requesting Data...3782732239</v>
        <stp/>
        <stp>BDP|8882891065543047720</stp>
        <tr r="AE52" s="1"/>
      </tp>
      <tp t="s">
        <v>#N/A Requesting Data...4116444613</v>
        <stp/>
        <stp>BDP|7021192487395956910</stp>
        <tr r="AD54" s="1"/>
      </tp>
      <tp t="s">
        <v>#N/A Requesting Data...4012638192</v>
        <stp/>
        <stp>BDP|4471932053328049239</stp>
        <tr r="AE27" s="1"/>
      </tp>
      <tp t="s">
        <v>#N/A Requesting Data...3997841905</v>
        <stp/>
        <stp>BDP|8759421288770894615</stp>
        <tr r="BM19" s="1"/>
      </tp>
      <tp t="s">
        <v>#N/A Requesting Data...3997879765</v>
        <stp/>
        <stp>BDP|3196404018380897450</stp>
        <tr r="BU68" s="1"/>
      </tp>
      <tp t="s">
        <v>#N/A Requesting Data...2474777818</v>
        <stp/>
        <stp>BDP|8077959921939510840</stp>
        <tr r="I23" s="4"/>
      </tp>
      <tp t="s">
        <v>#N/A Requesting Data...2763468036</v>
        <stp/>
        <stp>BDP|7632748995072514890</stp>
        <tr r="BU65" s="1"/>
      </tp>
      <tp t="s">
        <v>#N/A Requesting Data...4088060011</v>
        <stp/>
        <stp>BDP|7154465298888447125</stp>
        <tr r="BT43" s="1"/>
      </tp>
      <tp t="s">
        <v>#N/A Requesting Data...2515652051</v>
        <stp/>
        <stp>BDP|2793367962010301492</stp>
        <tr r="BC10" s="1"/>
      </tp>
      <tp t="s">
        <v>#N/A Requesting Data...3202536328</v>
        <stp/>
        <stp>BDP|4157922016027890833</stp>
        <tr r="AE61" s="1"/>
      </tp>
      <tp t="s">
        <v>#N/A Requesting Data...2237858047</v>
        <stp/>
        <stp>BDP|5625617528931581348</stp>
        <tr r="BU44" s="1"/>
      </tp>
      <tp t="s">
        <v>#N/A Requesting Data...1332611192</v>
        <stp/>
        <stp>BDP|3369571324841959669</stp>
        <tr r="BU67" s="1"/>
      </tp>
      <tp t="s">
        <v>#N/A Requesting Data...1883941644</v>
        <stp/>
        <stp>BDP|5160618614567233656</stp>
        <tr r="AU46" s="1"/>
      </tp>
      <tp t="s">
        <v>#N/A Requesting Data...1376351218</v>
        <stp/>
        <stp>BDP|4781574320837165721</stp>
        <tr r="BN14" s="1"/>
      </tp>
      <tp t="s">
        <v>#N/A Requesting Data...2781821980</v>
        <stp/>
        <stp>BDP|3503157222026275505</stp>
        <tr r="L63" s="1"/>
      </tp>
      <tp t="s">
        <v>#N/A Requesting Data...1160548935</v>
        <stp/>
        <stp>BDP|7537432216120674162</stp>
        <tr r="S21" s="1"/>
      </tp>
      <tp t="s">
        <v>#N/A Requesting Data...3325585446</v>
        <stp/>
        <stp>BDP|2204790116204868348</stp>
        <tr r="AK26" s="1"/>
      </tp>
      <tp t="s">
        <v>#N/A Requesting Data...1397845470</v>
        <stp/>
        <stp>BDP|3889294252154497365</stp>
        <tr r="BT60" s="1"/>
      </tp>
      <tp t="s">
        <v>#N/A Requesting Data...1051745198</v>
        <stp/>
        <stp>BDP|1282720569907001486</stp>
        <tr r="AD16" s="1"/>
      </tp>
      <tp t="s">
        <v>#N/A Requesting Data...3203551645</v>
        <stp/>
        <stp>BDP|2085159857934309179</stp>
        <tr r="BU55" s="1"/>
      </tp>
      <tp t="s">
        <v>#N/A Requesting Data...2988415333</v>
        <stp/>
        <stp>BDP|7212003915156024311</stp>
        <tr r="BU16" s="1"/>
      </tp>
      <tp t="s">
        <v>#N/A Requesting Data...2974961294</v>
        <stp/>
        <stp>BDP|6724889900904995915</stp>
        <tr r="T15" s="1"/>
      </tp>
      <tp t="s">
        <v>#N/A Requesting Data...2612305458</v>
        <stp/>
        <stp>BDP|5474975422828094560</stp>
        <tr r="AV43" s="1"/>
      </tp>
      <tp t="s">
        <v>#N/A Requesting Data...3506712090</v>
        <stp/>
        <stp>BDP|8979444675528943058</stp>
        <tr r="AL12" s="1"/>
      </tp>
      <tp t="s">
        <v>#N/A Requesting Data...2367825139</v>
        <stp/>
        <stp>BDP|8055844376693433726</stp>
        <tr r="BT15" s="1"/>
      </tp>
    </main>
    <main first="infomax.xlrtd">
      <tp>
        <v>14375</v>
        <stp/>
        <stp>P</stp>
        <stp>0</stp>
        <stp>STK</stp>
        <stp>329750</stp>
        <stp>현재가</stp>
        <stp/>
        <stp/>
        <tr r="BM53" s="1"/>
      </tp>
    </main>
    <main first="bofaddin.rtdserver">
      <tp t="s">
        <v>#N/A Requesting Data...1029739261</v>
        <stp/>
        <stp>BDP|611022659774639471</stp>
        <tr r="BU51" s="1"/>
      </tp>
      <tp t="s">
        <v>#N/A Requesting Data...1346869761</v>
        <stp/>
        <stp>BDP|369521039450750312</stp>
        <tr r="BN12" s="1"/>
      </tp>
      <tp t="s">
        <v>#N/A Requesting Data...3367391322</v>
        <stp/>
        <stp>BDP|216746407340627237</stp>
        <tr r="BT19" s="1"/>
      </tp>
      <tp t="s">
        <v>#N/A Requesting Data...2584029504</v>
        <stp/>
        <stp>BDP|353619023826436702</stp>
        <tr r="BM55" s="1"/>
      </tp>
      <tp t="s">
        <v>#N/A Requesting Data...3256932650</v>
        <stp/>
        <stp>BDP|781314164575741458</stp>
        <tr r="BM48" s="1"/>
      </tp>
      <tp t="s">
        <v>#N/A Requesting Data...1460388953</v>
        <stp/>
        <stp>BDP|986054411616342003</stp>
        <tr r="BN55" s="1"/>
      </tp>
      <tp t="s">
        <v>#N/A Requesting Data...4230789816</v>
        <stp/>
        <stp>BDP|322433612462200059</stp>
        <tr r="AK14" s="1"/>
      </tp>
      <tp t="s">
        <v>#N/A Requesting Data...3922286688</v>
        <stp/>
        <stp>BDP|750197559895619662</stp>
        <tr r="BU11" s="1"/>
      </tp>
      <tp t="s">
        <v>#N/A Requesting Data...3770319668</v>
        <stp/>
        <stp>BDP|902056441277508576</stp>
        <tr r="T6" s="1"/>
      </tp>
      <tp t="s">
        <v>#N/A Requesting Data...3015442840</v>
        <stp/>
        <stp>BDP|570084768531647184</stp>
        <tr r="BM8" s="1"/>
      </tp>
      <tp t="s">
        <v>#N/A Requesting Data...2661685209</v>
        <stp/>
        <stp>BDP|454477535771174062</stp>
        <tr r="T18" s="1"/>
      </tp>
      <tp t="s">
        <v>#N/A Requesting Data...1917763347</v>
        <stp/>
        <stp>BDP|889712647100550202</stp>
        <tr r="AK20" s="1"/>
      </tp>
      <tp t="s">
        <v>#N/A Requesting Data...1273756126</v>
        <stp/>
        <stp>BDP|966433049318499931</stp>
        <tr r="AL26" s="1"/>
      </tp>
      <tp t="s">
        <v>#N/A Requesting Data...1337823545</v>
        <stp/>
        <stp>BDP|159295358351886623</stp>
        <tr r="AV64" s="1"/>
      </tp>
      <tp t="s">
        <v>#N/A Requesting Data...3170520851</v>
        <stp/>
        <stp>BDP|169078578204104100</stp>
        <tr r="AU40" s="1"/>
      </tp>
      <tp t="s">
        <v>#N/A Requesting Data...2308995060</v>
        <stp/>
        <stp>BDP|949503127277559210</stp>
        <tr r="BN51" s="1"/>
      </tp>
      <tp t="s">
        <v>#N/A Requesting Data...2526073123</v>
        <stp/>
        <stp>BDP|722504220711258417</stp>
        <tr r="T16" s="1"/>
      </tp>
      <tp t="s">
        <v>#N/A Requesting Data...1480713702</v>
        <stp/>
        <stp>BDP|691248682842099449</stp>
        <tr r="M15" s="1"/>
      </tp>
      <tp t="s">
        <v>#N/A Requesting Data...2376809694</v>
        <stp/>
        <stp>BDP|157499791492834379</stp>
        <tr r="T62" s="1"/>
      </tp>
      <tp t="s">
        <v>#N/A Requesting Data...2279950690</v>
        <stp/>
        <stp>BDP|476693584522697566</stp>
        <tr r="BB8" s="1"/>
      </tp>
      <tp t="s">
        <v>#N/A Requesting Data...1972876334</v>
        <stp/>
        <stp>BDP|972261114332155833</stp>
        <tr r="BU20" s="1"/>
      </tp>
      <tp t="s">
        <v>#N/A Requesting Data...4132217354</v>
        <stp/>
        <stp>BDP|113663130364701896</stp>
        <tr r="BB46" s="1"/>
      </tp>
      <tp t="s">
        <v>#N/A Requesting Data...1966732655</v>
        <stp/>
        <stp>BDP|429070283495085403</stp>
        <tr r="AL64" s="1"/>
      </tp>
      <tp t="s">
        <v>#N/A Requesting Data...4191494212</v>
        <stp/>
        <stp>BDP|755646544819201186</stp>
        <tr r="BC11" s="1"/>
      </tp>
      <tp t="s">
        <v>#N/A Requesting Data...2396721061</v>
        <stp/>
        <stp>BDP|104011583001117307</stp>
        <tr r="AL3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803FD-7A59-4735-92EF-362B9CD48C59}" name="EMP1호" displayName="EMP1호" ref="D5:T68" totalsRowShown="0" headerRowDxfId="82" dataDxfId="80" headerRowBorderDxfId="81" tableBorderDxfId="79">
  <autoFilter ref="D5:T68" xr:uid="{FB2469C8-7EFE-42B1-9C10-C64F857FDDFC}"/>
  <tableColumns count="17">
    <tableColumn id="1" xr3:uid="{B9C5FA38-BBEB-4ADA-8B42-38D5CC634274}" name="종목명" dataDxfId="78"/>
    <tableColumn id="2" xr3:uid="{602F3CB6-99F6-443E-BD46-8B2635D1E728}" name="보유수량" dataDxfId="77"/>
    <tableColumn id="3" xr3:uid="{54FED07C-645A-4F8F-9ECF-4DF9F5169414}" name="목표수량" dataDxfId="76"/>
    <tableColumn id="4" xr3:uid="{08BBA251-5F50-4E0B-B8BC-9217F0CF523E}" name="주문방향" dataDxfId="75">
      <calculatedColumnFormula>IF(H6&gt;0,"매수",IF(H6=0,"","매도"))</calculatedColumnFormula>
    </tableColumn>
    <tableColumn id="5" xr3:uid="{35DDB7B6-4D82-453F-8C0A-A8F19368177A}" name="매매수량" dataDxfId="74"/>
    <tableColumn id="6" xr3:uid="{CC95A7AA-A625-442F-B9F0-5448C153C5AE}" name="주문수량" dataDxfId="73"/>
    <tableColumn id="7" xr3:uid="{04D4F530-1BBB-4201-B64F-89E0A437D664}" name="주문금액(E)" dataDxfId="72"/>
    <tableColumn id="8" xr3:uid="{44106860-A4BA-4BBB-9631-4F1266E8913D}" name="중개기관" dataDxfId="71"/>
    <tableColumn id="9" xr3:uid="{E02E47A7-5792-419F-88E0-282B7B37A29A}" name="종가" dataDxfId="70"/>
    <tableColumn id="16" xr3:uid="{C8E29DEF-0114-4DB4-9066-F611D67E447E}" name="등락율" dataDxfId="69"/>
    <tableColumn id="10" xr3:uid="{0054D7C7-C8AA-4ED7-B016-E55A98DDCBE4}" name="평가금액" dataDxfId="68"/>
    <tableColumn id="17" xr3:uid="{7F577147-E82B-44D1-9CBD-CE89622A1795}" name="속보치" dataDxfId="67"/>
    <tableColumn id="11" xr3:uid="{DDE89204-C839-4D0B-A3D0-143C201DE640}" name="목표금액" dataDxfId="66"/>
    <tableColumn id="12" xr3:uid="{4992C3D8-BD22-43A5-BD5A-DB5779DA3F72}" name="현재비중" dataDxfId="65" dataCellStyle="백분율"/>
    <tableColumn id="13" xr3:uid="{984F5C8F-1811-4F33-AC3D-87F1164E3BCB}" name="목표비중" dataDxfId="64"/>
    <tableColumn id="14" xr3:uid="{A9E9C0D0-BB44-4AB0-B214-5BB073CC717B}" name="시총" dataDxfId="63"/>
    <tableColumn id="15" xr3:uid="{FF673897-8E8C-44B6-9387-2926D0B6611C}" name="거래대금" dataDxfId="6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22C75-F149-44B9-843C-8E314974FF89}" name="EMP2호" displayName="EMP2호" ref="U5:AL68" totalsRowShown="0" headerRowDxfId="61" dataDxfId="60" tableBorderDxfId="59">
  <autoFilter ref="U5:AL68" xr:uid="{B5DE14A1-14B8-44C3-963F-D350F1E71112}"/>
  <tableColumns count="18">
    <tableColumn id="1" xr3:uid="{CCBBF676-A301-44CB-BF27-E03626D4250B}" name="종목명" dataDxfId="58"/>
    <tableColumn id="16" xr3:uid="{120B34C9-4E65-43E9-A15B-0450BD8AFF3D}" name="한글종목명" dataDxfId="57"/>
    <tableColumn id="2" xr3:uid="{D1AF3E8F-54D8-4420-ACC4-E2CA7638F20D}" name="보유수량" dataDxfId="56"/>
    <tableColumn id="3" xr3:uid="{6EA81961-8A29-4F50-BCB4-7377689BBB25}" name="목표수량" dataDxfId="55"/>
    <tableColumn id="4" xr3:uid="{13E6CE47-B8A0-4C15-B833-A26E9DD7ABC8}" name="주문방향" dataDxfId="54"/>
    <tableColumn id="5" xr3:uid="{60AF048B-E18E-4996-9752-3AB0F239198E}" name="매매수량" dataDxfId="53"/>
    <tableColumn id="6" xr3:uid="{9808023B-CDE5-42AF-98AB-9D9674BEAAA5}" name="주문수량" dataDxfId="52"/>
    <tableColumn id="7" xr3:uid="{565DEBEC-FB43-4D24-8DE1-45CA87BA43C0}" name="주문금액(E)" dataDxfId="51"/>
    <tableColumn id="8" xr3:uid="{9B8A8834-E877-4A16-94A5-2B6759CD5040}" name="중개기관" dataDxfId="50"/>
    <tableColumn id="9" xr3:uid="{1FA9B69D-8A6A-4EC7-928E-6DBBF0DA0296}" name="종가" dataDxfId="49"/>
    <tableColumn id="17" xr3:uid="{0E9AA25C-5388-4026-A606-6F443424561E}" name="등락율" dataDxfId="48">
      <calculatedColumnFormula>_xll.BDP(U6,"CHG_PCT_1D")</calculatedColumnFormula>
    </tableColumn>
    <tableColumn id="10" xr3:uid="{A60ADD57-2FDD-40B4-8C86-2FED997E5E3B}" name="평가금액" dataDxfId="47"/>
    <tableColumn id="18" xr3:uid="{8C6D3DDE-8139-43E6-AF6C-98C027CA6BAC}" name="속보치" dataDxfId="46">
      <calculatedColumnFormula>EMP2호[[#This Row],[평가금액]]*EMP2호[[#This Row],[등락율]]*$A$5</calculatedColumnFormula>
    </tableColumn>
    <tableColumn id="11" xr3:uid="{A095B339-7473-421C-9EAD-EF81441E089A}" name="목표금액" dataDxfId="45">
      <calculatedColumnFormula>$W$2*AJ6</calculatedColumnFormula>
    </tableColumn>
    <tableColumn id="12" xr3:uid="{D08EF158-6861-48A5-AD6D-E86D552733B0}" name="현재비중" dataDxfId="44" dataCellStyle="백분율"/>
    <tableColumn id="13" xr3:uid="{99C5882C-BC9E-4C64-9BB8-3BD6880E8214}" name="목표비중" dataDxfId="43"/>
    <tableColumn id="14" xr3:uid="{485A2ECD-7DF2-4EFB-8F27-CCD71466DABE}" name="시총" dataDxfId="42"/>
    <tableColumn id="15" xr3:uid="{9F004B26-B76F-4239-BB6D-07D47941B99A}" name="거래대금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FBF45-8B45-4428-97E3-35AFEA3A883D}" name="EMP3호" displayName="EMP3호" ref="AM5:BC68" totalsRowShown="0" headerRowDxfId="40" dataDxfId="39" tableBorderDxfId="38">
  <autoFilter ref="AM5:BC68" xr:uid="{7D6E1044-A905-4E6E-8D69-73A98B9AFEA3}"/>
  <tableColumns count="17">
    <tableColumn id="1" xr3:uid="{D78F080A-7A27-4F16-881F-ADDCD1B71FC9}" name="종목명" dataDxfId="37"/>
    <tableColumn id="2" xr3:uid="{10A786FB-80B8-421E-8847-6D25072F8250}" name="보유수량" dataDxfId="36"/>
    <tableColumn id="3" xr3:uid="{A7059C4A-7350-40E9-B5A0-C35B7008E1B6}" name="목표수량" dataDxfId="35"/>
    <tableColumn id="4" xr3:uid="{3BBD9829-08DB-4DE0-B7B6-89EB35311D2F}" name="주문방향" dataDxfId="34"/>
    <tableColumn id="5" xr3:uid="{6A501DFF-865E-48C9-9BC7-A3818F599705}" name="매매수량" dataDxfId="33"/>
    <tableColumn id="6" xr3:uid="{171BC832-CF2F-4B7F-99EE-02A2A4020F03}" name="주문수량" dataDxfId="32"/>
    <tableColumn id="7" xr3:uid="{26C89F74-C2AC-4040-9A2F-82D6051952EF}" name="주문금액(E)" dataDxfId="31"/>
    <tableColumn id="8" xr3:uid="{B8DF58F6-E065-48AF-AD82-B46D2D849DFA}" name="중개기관" dataDxfId="30"/>
    <tableColumn id="9" xr3:uid="{76D82081-E1F7-401E-8AAC-C0C6E1AB591F}" name="종가" dataDxfId="29"/>
    <tableColumn id="16" xr3:uid="{627C33EC-2401-47FA-850E-755AB9BBD2AC}" name="등락율" dataDxfId="28"/>
    <tableColumn id="10" xr3:uid="{D0174ACB-6719-4B06-A3B4-FF96BB231475}" name="평가금액" dataDxfId="27"/>
    <tableColumn id="17" xr3:uid="{33F2561F-21FC-42CA-82F7-D3103205A7DC}" name="속보치" dataDxfId="26"/>
    <tableColumn id="11" xr3:uid="{5891DFBD-9D05-48CF-B4EA-FAB7A79A0CA7}" name="목표금액" dataDxfId="25"/>
    <tableColumn id="12" xr3:uid="{B57BBD2C-D0CC-4C11-9F93-F123A14C02F1}" name="현재비중" dataDxfId="24" dataCellStyle="백분율">
      <calculatedColumnFormula>AW6/$AN$2</calculatedColumnFormula>
    </tableColumn>
    <tableColumn id="13" xr3:uid="{FC847955-17AF-46EF-9E24-6BF77864C87E}" name="목표비중" dataDxfId="23"/>
    <tableColumn id="14" xr3:uid="{F7FA37BD-9874-4120-8F2B-75CEC77E3B85}" name="시총" dataDxfId="22"/>
    <tableColumn id="15" xr3:uid="{52EDBC96-23E8-4182-BA2A-7433941E52DE}" name="거래대금" dataDxfId="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9EFCBF-058F-4276-84AD-9E6A6E10F2F4}" name="EMP4호" displayName="EMP4호" ref="BD5:BU68" totalsRowShown="0" headerRowDxfId="20" dataDxfId="19" tableBorderDxfId="18">
  <autoFilter ref="BD5:BU68" xr:uid="{ABA158F0-C1E8-49FD-9D84-E5C5C55A6BAB}"/>
  <tableColumns count="18">
    <tableColumn id="1" xr3:uid="{CA55D1EE-E017-4F4E-99AA-A1F8C4B83F99}" name="종목명" dataDxfId="17"/>
    <tableColumn id="2" xr3:uid="{D7EF2222-89F1-4100-96DF-A2F6B65EF27D}" name="한글종목명" dataDxfId="16"/>
    <tableColumn id="3" xr3:uid="{F9723A94-EB97-4E40-8A4E-FC3A8AB3E0A3}" name="보유수량" dataDxfId="15"/>
    <tableColumn id="4" xr3:uid="{E4138D16-23C5-40F2-9BD3-C2E4BEA4B165}" name="목표수량" dataDxfId="14">
      <calculatedColumnFormula>IF(BE6&lt;&gt;"",ROUND(BQ6/BM6,-1), ROUND(BQ6/(BM6*$A$5),-1))</calculatedColumnFormula>
    </tableColumn>
    <tableColumn id="5" xr3:uid="{AD0AD084-BC0A-4190-8B7B-8AA1F9E0B1EA}" name="주문방향" dataDxfId="13">
      <calculatedColumnFormula>IF(BI6&gt;0,"매수",IF(BI6=0,"","매도"))</calculatedColumnFormula>
    </tableColumn>
    <tableColumn id="6" xr3:uid="{4CC52C26-AC23-4617-AD7F-AB8DB67C554C}" name="매매수량" dataDxfId="12">
      <calculatedColumnFormula>BG6-BF6</calculatedColumnFormula>
    </tableColumn>
    <tableColumn id="7" xr3:uid="{C673BDEB-BB36-4A0B-8755-21848F13753E}" name="주문수량" dataDxfId="11">
      <calculatedColumnFormula>ABS(BI6)</calculatedColumnFormula>
    </tableColumn>
    <tableColumn id="8" xr3:uid="{A49AE281-DE24-4E23-BD93-A0DBC7BA4312}" name="주문금액(E)" dataDxfId="10">
      <calculatedColumnFormula>IF(BE6&lt;&gt;"",BJ6*BM6,BJ6*BM6*$A$5)</calculatedColumnFormula>
    </tableColumn>
    <tableColumn id="9" xr3:uid="{E2C4FF16-6D36-43AA-992D-04BC40467B84}" name="중개기관" dataDxfId="9"/>
    <tableColumn id="10" xr3:uid="{90ED6F54-D201-4463-8CC6-086C5B5BA480}" name="종가" dataDxfId="8">
      <calculatedColumnFormula>_xll.BDP(BD6,"PX_LAST")</calculatedColumnFormula>
    </tableColumn>
    <tableColumn id="17" xr3:uid="{2ED37E57-48A2-4718-9CD7-148E8285F547}" name="등락율" dataDxfId="7" dataCellStyle="백분율"/>
    <tableColumn id="11" xr3:uid="{94B854C3-438B-41AA-9561-7E40EE4A538A}" name="평가금액(원)" dataDxfId="6">
      <calculatedColumnFormula>IF(BE6&lt;&gt;"",BF6*BM6,BF6*BM6*$A$5)</calculatedColumnFormula>
    </tableColumn>
    <tableColumn id="18" xr3:uid="{8FCB2D36-539B-46FE-8456-5455CECD12F1}" name="속보치" dataDxfId="5"/>
    <tableColumn id="12" xr3:uid="{DC027327-1D5E-4B26-A8BA-57A4D4DF5F37}" name="목표금액(원)" dataDxfId="4">
      <calculatedColumnFormula>$BE$2*BS6</calculatedColumnFormula>
    </tableColumn>
    <tableColumn id="13" xr3:uid="{DD841514-AEFE-4BC4-822D-A851571D05E5}" name="현재비중" dataDxfId="3" dataCellStyle="백분율">
      <calculatedColumnFormula>BO6/$BE$2</calculatedColumnFormula>
    </tableColumn>
    <tableColumn id="14" xr3:uid="{E86ABF3C-2B94-4AD6-86AF-D935989CB3E3}" name="목표비중" dataDxfId="2"/>
    <tableColumn id="15" xr3:uid="{CCCCFE3B-EE6F-4290-9568-1FED491BBF87}" name="시총" dataDxfId="1">
      <calculatedColumnFormula>_xll.BDP(BD6,"CUR_MKT_CAP")/1000000</calculatedColumnFormula>
    </tableColumn>
    <tableColumn id="16" xr3:uid="{1CDF4162-7DE7-4E37-8FD4-CA89F35477EB}" name="거래대금" dataDxfId="0">
      <calculatedColumnFormula>_xll.BDP(BD6, "INTERVAL_AVG", "MARKET_DATA_OVERRIDE=TURNOVER", "PERIODICITY_OVERRIDE=D","CALC_INTERVAL=2M")/1000000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F66-BEDA-4F64-B7B5-35DB49D9B21A}">
  <sheetPr codeName="Sheet1"/>
  <dimension ref="A1:BY69"/>
  <sheetViews>
    <sheetView tabSelected="1" zoomScale="85" zoomScaleNormal="85" workbookViewId="0">
      <pane xSplit="3" ySplit="5" topLeftCell="R6" activePane="bottomRight" state="frozen"/>
      <selection pane="topRight" activeCell="D1" sqref="D1"/>
      <selection pane="bottomLeft" activeCell="A3" sqref="A3"/>
      <selection pane="bottomRight" activeCell="AK6" sqref="AK6"/>
    </sheetView>
  </sheetViews>
  <sheetFormatPr defaultRowHeight="16.5" outlineLevelCol="1" x14ac:dyDescent="0.3"/>
  <cols>
    <col min="1" max="1" width="12.375" customWidth="1"/>
    <col min="2" max="2" width="11.5" customWidth="1"/>
    <col min="3" max="3" width="17.5" customWidth="1"/>
    <col min="4" max="4" width="15.375" style="1" customWidth="1"/>
    <col min="5" max="9" width="10.125" style="1" customWidth="1" outlineLevel="1"/>
    <col min="10" max="10" width="11.875" style="1" customWidth="1" outlineLevel="1"/>
    <col min="11" max="15" width="10.125" style="1" customWidth="1" outlineLevel="1"/>
    <col min="16" max="16" width="11.75" style="1" customWidth="1" outlineLevel="1"/>
    <col min="17" max="18" width="10.125" style="1" customWidth="1" outlineLevel="1"/>
    <col min="19" max="19" width="10.625" style="1" customWidth="1" outlineLevel="1"/>
    <col min="20" max="20" width="10.75" style="1" customWidth="1" outlineLevel="1"/>
    <col min="21" max="22" width="15.375" style="1" customWidth="1"/>
    <col min="23" max="27" width="10.75" style="1" customWidth="1" outlineLevel="1"/>
    <col min="28" max="28" width="11.875" style="1" customWidth="1" outlineLevel="1"/>
    <col min="29" max="31" width="10.75" style="1" customWidth="1" outlineLevel="1"/>
    <col min="32" max="32" width="12.5" style="1" customWidth="1" outlineLevel="1"/>
    <col min="33" max="33" width="14.75" style="1" customWidth="1" outlineLevel="1"/>
    <col min="34" max="34" width="13.625" style="1" customWidth="1" outlineLevel="1"/>
    <col min="35" max="38" width="10.75" style="1" customWidth="1" outlineLevel="1"/>
    <col min="39" max="39" width="15.375" style="1" customWidth="1"/>
    <col min="40" max="44" width="11.25" style="1" customWidth="1" outlineLevel="1"/>
    <col min="45" max="45" width="11.875" style="1" customWidth="1" outlineLevel="1"/>
    <col min="46" max="50" width="11.25" style="1" customWidth="1" outlineLevel="1"/>
    <col min="51" max="51" width="13" style="1" customWidth="1" outlineLevel="1"/>
    <col min="52" max="53" width="11.25" style="1" customWidth="1" outlineLevel="1"/>
    <col min="54" max="55" width="10" style="1" customWidth="1" outlineLevel="1"/>
    <col min="56" max="56" width="17.125" style="1" customWidth="1"/>
    <col min="57" max="57" width="22.875" style="1" customWidth="1"/>
    <col min="58" max="62" width="12.125" style="1" customWidth="1" outlineLevel="1"/>
    <col min="63" max="63" width="13.75" style="1" customWidth="1" outlineLevel="1"/>
    <col min="64" max="64" width="10.5" style="1" customWidth="1" outlineLevel="1"/>
    <col min="65" max="66" width="12.125" style="1" customWidth="1" outlineLevel="1"/>
    <col min="67" max="67" width="13.375" style="1" customWidth="1" outlineLevel="1"/>
    <col min="68" max="68" width="12.625" style="1" customWidth="1" outlineLevel="1"/>
    <col min="69" max="69" width="13.875" style="1" customWidth="1" outlineLevel="1"/>
    <col min="70" max="71" width="12.125" style="1" customWidth="1" outlineLevel="1"/>
    <col min="72" max="72" width="11.25" style="1" customWidth="1" outlineLevel="1"/>
    <col min="73" max="73" width="12.75" style="1" customWidth="1" outlineLevel="1"/>
    <col min="77" max="77" width="9" style="70"/>
  </cols>
  <sheetData>
    <row r="1" spans="1:75" ht="21" customHeight="1" x14ac:dyDescent="0.3">
      <c r="A1" s="80" t="s">
        <v>251</v>
      </c>
      <c r="B1" s="80"/>
      <c r="C1" s="80"/>
      <c r="D1" s="81" t="s">
        <v>3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  <c r="U1" s="84" t="s">
        <v>4</v>
      </c>
      <c r="V1" s="85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7"/>
      <c r="AM1" s="91" t="s">
        <v>8</v>
      </c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3"/>
      <c r="BD1" s="78" t="s">
        <v>9</v>
      </c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9"/>
    </row>
    <row r="2" spans="1:75" ht="21" customHeight="1" x14ac:dyDescent="0.3">
      <c r="A2" s="80"/>
      <c r="B2" s="80"/>
      <c r="C2" s="80"/>
      <c r="D2" s="22" t="s">
        <v>183</v>
      </c>
      <c r="E2" s="88">
        <v>10000000</v>
      </c>
      <c r="F2" s="89"/>
      <c r="G2" s="89"/>
      <c r="H2" s="89"/>
      <c r="I2" s="89"/>
      <c r="J2" s="89"/>
      <c r="K2" s="89"/>
      <c r="L2" s="89"/>
      <c r="M2" s="89"/>
      <c r="N2" s="90"/>
      <c r="O2" s="11" t="s">
        <v>285</v>
      </c>
      <c r="P2" s="60">
        <f>O69/E2</f>
        <v>2.8142043913705161E-3</v>
      </c>
      <c r="Q2" s="58"/>
      <c r="R2" s="58"/>
      <c r="S2" s="58"/>
      <c r="T2" s="61"/>
      <c r="U2" s="39" t="s">
        <v>241</v>
      </c>
      <c r="V2" s="40"/>
      <c r="W2" s="88">
        <v>15000000</v>
      </c>
      <c r="X2" s="89"/>
      <c r="Y2" s="89"/>
      <c r="Z2" s="89"/>
      <c r="AA2" s="89"/>
      <c r="AB2" s="89"/>
      <c r="AC2" s="89"/>
      <c r="AD2" s="89"/>
      <c r="AE2" s="89"/>
      <c r="AF2" s="90"/>
      <c r="AG2" s="16" t="s">
        <v>286</v>
      </c>
      <c r="AH2" s="60">
        <f>AH3/W2</f>
        <v>-5.8995053583296136E-3</v>
      </c>
      <c r="AI2" s="58"/>
      <c r="AJ2" s="58"/>
      <c r="AK2" s="58"/>
      <c r="AL2" s="59"/>
      <c r="AM2" s="24" t="s">
        <v>241</v>
      </c>
      <c r="AN2" s="88">
        <v>10000000</v>
      </c>
      <c r="AO2" s="89"/>
      <c r="AP2" s="89"/>
      <c r="AQ2" s="89"/>
      <c r="AR2" s="89"/>
      <c r="AS2" s="89"/>
      <c r="AT2" s="89"/>
      <c r="AU2" s="89"/>
      <c r="AV2" s="89"/>
      <c r="AW2" s="90"/>
      <c r="AX2" s="62" t="s">
        <v>285</v>
      </c>
      <c r="AY2" s="63">
        <f>AX69/AN2</f>
        <v>1.0122119876767037E-4</v>
      </c>
      <c r="AZ2" s="58"/>
      <c r="BA2" s="58"/>
      <c r="BB2" s="58"/>
      <c r="BC2" s="61"/>
      <c r="BD2" s="47" t="s">
        <v>244</v>
      </c>
      <c r="BE2" s="88">
        <v>20000000000</v>
      </c>
      <c r="BF2" s="89"/>
      <c r="BG2" s="89"/>
      <c r="BH2" s="89"/>
      <c r="BI2" s="89"/>
      <c r="BJ2" s="89"/>
      <c r="BK2" s="89"/>
      <c r="BL2" s="89"/>
      <c r="BM2" s="89"/>
      <c r="BN2" s="89"/>
      <c r="BO2" s="90"/>
      <c r="BP2" s="64" t="s">
        <v>285</v>
      </c>
      <c r="BQ2" s="60">
        <f>BQ4/BE2</f>
        <v>6.7421583008031019E-4</v>
      </c>
      <c r="BR2" s="58"/>
      <c r="BS2" s="58"/>
      <c r="BT2" s="58"/>
      <c r="BU2" s="61"/>
    </row>
    <row r="3" spans="1:75" ht="21" customHeight="1" x14ac:dyDescent="0.3">
      <c r="A3" s="80"/>
      <c r="B3" s="80"/>
      <c r="C3" s="80"/>
      <c r="D3" s="22" t="s">
        <v>199</v>
      </c>
      <c r="E3" s="11" t="s">
        <v>193</v>
      </c>
      <c r="F3" s="95">
        <f>SUM(Q6:Q51)</f>
        <v>0.53778141000000002</v>
      </c>
      <c r="G3" s="95"/>
      <c r="H3" s="11" t="s">
        <v>194</v>
      </c>
      <c r="I3" s="95">
        <f>SUM(Q52:Q62)</f>
        <v>0.25819161000000002</v>
      </c>
      <c r="J3" s="95"/>
      <c r="K3" s="11" t="s">
        <v>195</v>
      </c>
      <c r="L3" s="12">
        <f>SUM(Q63:Q67)</f>
        <v>0.14592380999999999</v>
      </c>
      <c r="M3" s="11" t="s">
        <v>196</v>
      </c>
      <c r="N3" s="12">
        <f>Q68</f>
        <v>5.4041040000000005E-2</v>
      </c>
      <c r="O3" s="11" t="s">
        <v>281</v>
      </c>
      <c r="P3" s="55">
        <f>O69</f>
        <v>28142.043913705162</v>
      </c>
      <c r="Q3" s="10" t="s">
        <v>256</v>
      </c>
      <c r="R3" s="13">
        <f>COUNTIF(Q6:Q68,"&gt;0")</f>
        <v>16</v>
      </c>
      <c r="S3" s="14" t="s">
        <v>200</v>
      </c>
      <c r="T3" s="23">
        <f>F3+I3+L3+N3</f>
        <v>0.99593787</v>
      </c>
      <c r="U3" s="39" t="s">
        <v>254</v>
      </c>
      <c r="V3" s="40"/>
      <c r="W3" s="16" t="s">
        <v>247</v>
      </c>
      <c r="X3" s="95">
        <f>SUM(AI6:AI51)</f>
        <v>0.57033491773078704</v>
      </c>
      <c r="Y3" s="95"/>
      <c r="Z3" s="16" t="s">
        <v>248</v>
      </c>
      <c r="AA3" s="95">
        <f>SUM(AI52:AI62)</f>
        <v>0.34789647999999995</v>
      </c>
      <c r="AB3" s="95"/>
      <c r="AC3" s="16" t="s">
        <v>249</v>
      </c>
      <c r="AD3" s="12">
        <f>SUM(AI63:AI67)</f>
        <v>6.660157333333333E-2</v>
      </c>
      <c r="AE3" s="16" t="s">
        <v>39</v>
      </c>
      <c r="AF3" s="12">
        <f>AI68</f>
        <v>0</v>
      </c>
      <c r="AG3" s="16" t="s">
        <v>282</v>
      </c>
      <c r="AH3" s="55">
        <f>AH4/A5</f>
        <v>-88492.580374944198</v>
      </c>
      <c r="AI3" s="16" t="s">
        <v>253</v>
      </c>
      <c r="AJ3" s="18">
        <f>COUNTIF(AI6:AI68,"&gt;0")</f>
        <v>14</v>
      </c>
      <c r="AK3" s="16" t="s">
        <v>252</v>
      </c>
      <c r="AL3" s="46">
        <f>X3+AA3+AD3+AF3</f>
        <v>0.98483297106412038</v>
      </c>
      <c r="AM3" s="24" t="s">
        <v>242</v>
      </c>
      <c r="AN3" s="17" t="s">
        <v>247</v>
      </c>
      <c r="AO3" s="95">
        <f>SUM(AZ6:AZ51)</f>
        <v>0.62459562000000002</v>
      </c>
      <c r="AP3" s="95"/>
      <c r="AQ3" s="17" t="s">
        <v>248</v>
      </c>
      <c r="AR3" s="95">
        <f>SUM(AZ52:AZ62)</f>
        <v>0.29757651000000002</v>
      </c>
      <c r="AS3" s="95"/>
      <c r="AT3" s="17" t="s">
        <v>249</v>
      </c>
      <c r="AU3" s="44">
        <f>SUM(AZ63:AZ67)</f>
        <v>0.12094162999999999</v>
      </c>
      <c r="AV3" s="17" t="s">
        <v>250</v>
      </c>
      <c r="AW3" s="44">
        <f>AZ68</f>
        <v>0</v>
      </c>
      <c r="AX3" s="17" t="s">
        <v>281</v>
      </c>
      <c r="AY3" s="55">
        <f>AX69</f>
        <v>1012.2119876767038</v>
      </c>
      <c r="AZ3" s="17" t="s">
        <v>256</v>
      </c>
      <c r="BA3" s="19">
        <f>COUNTIF(AZ6:AZ68,"&gt;0")</f>
        <v>11</v>
      </c>
      <c r="BB3" s="17" t="s">
        <v>252</v>
      </c>
      <c r="BC3" s="23">
        <f>AO3+AR3+AU3+AW3</f>
        <v>1.04311376</v>
      </c>
      <c r="BD3" s="47" t="s">
        <v>242</v>
      </c>
      <c r="BE3" s="21" t="s">
        <v>247</v>
      </c>
      <c r="BF3" s="102">
        <f>SUM(BR6:BR51)</f>
        <v>0.57936173749899977</v>
      </c>
      <c r="BG3" s="103"/>
      <c r="BH3" s="103"/>
      <c r="BI3" s="21" t="s">
        <v>248</v>
      </c>
      <c r="BJ3" s="99">
        <f>SUM(BR52:BR62)</f>
        <v>0.29937042499400002</v>
      </c>
      <c r="BK3" s="100"/>
      <c r="BL3" s="21" t="s">
        <v>249</v>
      </c>
      <c r="BM3" s="20">
        <f>SUM(BR63:BR67)</f>
        <v>0.14557455250000001</v>
      </c>
      <c r="BN3" s="21" t="s">
        <v>250</v>
      </c>
      <c r="BO3" s="20">
        <f>BR68</f>
        <v>0</v>
      </c>
      <c r="BP3" s="21" t="s">
        <v>281</v>
      </c>
      <c r="BQ3" s="15"/>
      <c r="BR3" s="21" t="s">
        <v>256</v>
      </c>
      <c r="BS3" s="15">
        <f>COUNTIF(BR6:BR68,"&gt;0")</f>
        <v>18</v>
      </c>
      <c r="BT3" s="21" t="s">
        <v>257</v>
      </c>
      <c r="BU3" s="25">
        <f>BF3+BJ3+BM3</f>
        <v>1.0243067149929999</v>
      </c>
    </row>
    <row r="4" spans="1:75" ht="21" customHeight="1" x14ac:dyDescent="0.3">
      <c r="A4" s="56">
        <v>46164</v>
      </c>
      <c r="B4" s="66" t="s">
        <v>290</v>
      </c>
      <c r="C4" s="65">
        <f>P4+AH4+AY4+BQ4</f>
        <v>-76312369.824235678</v>
      </c>
      <c r="D4" s="22" t="s">
        <v>198</v>
      </c>
      <c r="E4" s="11" t="s">
        <v>193</v>
      </c>
      <c r="F4" s="95">
        <f>SUM(R6:R51)</f>
        <v>0.52</v>
      </c>
      <c r="G4" s="95"/>
      <c r="H4" s="11" t="s">
        <v>194</v>
      </c>
      <c r="I4" s="95">
        <f>SUM(R52:R62)</f>
        <v>0.25900000000000001</v>
      </c>
      <c r="J4" s="95"/>
      <c r="K4" s="11" t="s">
        <v>195</v>
      </c>
      <c r="L4" s="12">
        <f>SUM(R63:R67)</f>
        <v>0.16400000000000001</v>
      </c>
      <c r="M4" s="11" t="s">
        <v>196</v>
      </c>
      <c r="N4" s="12">
        <f>R68</f>
        <v>5.3999999999999999E-2</v>
      </c>
      <c r="O4" s="11" t="s">
        <v>283</v>
      </c>
      <c r="P4" s="55">
        <f>P3*A5</f>
        <v>42587355.054610021</v>
      </c>
      <c r="Q4" s="10" t="s">
        <v>256</v>
      </c>
      <c r="R4" s="13">
        <f>COUNTIF(R6:R68,"&gt;0")</f>
        <v>16</v>
      </c>
      <c r="S4" s="14" t="s">
        <v>200</v>
      </c>
      <c r="T4" s="23">
        <f>F4+I4+L4+N4</f>
        <v>0.99700000000000011</v>
      </c>
      <c r="U4" s="41" t="s">
        <v>255</v>
      </c>
      <c r="V4" s="42"/>
      <c r="W4" s="29" t="s">
        <v>247</v>
      </c>
      <c r="X4" s="96">
        <f>SUM(AJ6:AJ51)</f>
        <v>0.57500000000000007</v>
      </c>
      <c r="Y4" s="96"/>
      <c r="Z4" s="29" t="s">
        <v>248</v>
      </c>
      <c r="AA4" s="96">
        <f>SUM(AJ52:AJ62)</f>
        <v>0.35</v>
      </c>
      <c r="AB4" s="96"/>
      <c r="AC4" s="29" t="s">
        <v>249</v>
      </c>
      <c r="AD4" s="30">
        <f>SUM(AJ63:AJ67)</f>
        <v>7.5000000000000011E-2</v>
      </c>
      <c r="AE4" s="29" t="s">
        <v>39</v>
      </c>
      <c r="AF4" s="30">
        <f>AJ68</f>
        <v>0</v>
      </c>
      <c r="AG4" s="16" t="s">
        <v>284</v>
      </c>
      <c r="AH4" s="55">
        <f>AG69</f>
        <v>-133915821.88140306</v>
      </c>
      <c r="AI4" s="29" t="s">
        <v>253</v>
      </c>
      <c r="AJ4" s="31">
        <f>COUNTIF(AJ6:AJ68,"&gt;0")</f>
        <v>14</v>
      </c>
      <c r="AK4" s="29" t="s">
        <v>252</v>
      </c>
      <c r="AL4" s="43">
        <f>X4+AA4+AD4+AF4</f>
        <v>1</v>
      </c>
      <c r="AM4" s="33" t="s">
        <v>243</v>
      </c>
      <c r="AN4" s="34" t="s">
        <v>247</v>
      </c>
      <c r="AO4" s="96">
        <f>SUM(BA6:BA51)</f>
        <v>0</v>
      </c>
      <c r="AP4" s="96"/>
      <c r="AQ4" s="34" t="s">
        <v>248</v>
      </c>
      <c r="AR4" s="96">
        <f>SUM(BA52:BA62)</f>
        <v>0</v>
      </c>
      <c r="AS4" s="96"/>
      <c r="AT4" s="34" t="s">
        <v>249</v>
      </c>
      <c r="AU4" s="45">
        <f>SUM(BA63:BA67)</f>
        <v>0</v>
      </c>
      <c r="AV4" s="34" t="s">
        <v>250</v>
      </c>
      <c r="AW4" s="45">
        <f>BA68</f>
        <v>0</v>
      </c>
      <c r="AX4" s="34" t="s">
        <v>283</v>
      </c>
      <c r="AY4" s="55">
        <f>AY3*A5</f>
        <v>1531780.4009511557</v>
      </c>
      <c r="AZ4" s="34" t="s">
        <v>256</v>
      </c>
      <c r="BA4" s="31">
        <f>COUNTIF(BA6:BA68,"&gt;0")</f>
        <v>0</v>
      </c>
      <c r="BB4" s="34" t="s">
        <v>252</v>
      </c>
      <c r="BC4" s="32">
        <f>AO4+AR4+AU4+AW4</f>
        <v>0</v>
      </c>
      <c r="BD4" s="48" t="s">
        <v>243</v>
      </c>
      <c r="BE4" s="35" t="s">
        <v>247</v>
      </c>
      <c r="BF4" s="101">
        <f>SUM(BS6:BS51)</f>
        <v>0</v>
      </c>
      <c r="BG4" s="101"/>
      <c r="BH4" s="101"/>
      <c r="BI4" s="35" t="s">
        <v>248</v>
      </c>
      <c r="BJ4" s="97">
        <f>SUM(BS52:BS62)</f>
        <v>0</v>
      </c>
      <c r="BK4" s="98"/>
      <c r="BL4" s="35" t="s">
        <v>249</v>
      </c>
      <c r="BM4" s="36">
        <f>SUM(BS63:BS67)</f>
        <v>0</v>
      </c>
      <c r="BN4" s="35" t="s">
        <v>250</v>
      </c>
      <c r="BO4" s="36">
        <f>BS68</f>
        <v>0</v>
      </c>
      <c r="BP4" s="35" t="s">
        <v>283</v>
      </c>
      <c r="BQ4" s="55">
        <f>BP69</f>
        <v>13484316.601606203</v>
      </c>
      <c r="BR4" s="35" t="s">
        <v>256</v>
      </c>
      <c r="BS4" s="37">
        <f>COUNTIF(BS6:BS68,"&gt;0")</f>
        <v>0</v>
      </c>
      <c r="BT4" s="35" t="s">
        <v>257</v>
      </c>
      <c r="BU4" s="38">
        <f>BF4+BJ4+BM4</f>
        <v>0</v>
      </c>
    </row>
    <row r="5" spans="1:75" ht="21" customHeight="1" x14ac:dyDescent="0.3">
      <c r="A5" s="94">
        <f>_xll.BDH("KOBRUSD Index","PX_LAST",A4)</f>
        <v>1513.3</v>
      </c>
      <c r="B5" s="94"/>
      <c r="C5" s="94"/>
      <c r="D5" s="26" t="s">
        <v>5</v>
      </c>
      <c r="E5" s="27" t="s">
        <v>177</v>
      </c>
      <c r="F5" s="27" t="s">
        <v>188</v>
      </c>
      <c r="G5" s="27" t="s">
        <v>191</v>
      </c>
      <c r="H5" s="27" t="s">
        <v>189</v>
      </c>
      <c r="I5" s="27" t="s">
        <v>190</v>
      </c>
      <c r="J5" s="27" t="s">
        <v>192</v>
      </c>
      <c r="K5" s="27" t="s">
        <v>197</v>
      </c>
      <c r="L5" s="27" t="s">
        <v>176</v>
      </c>
      <c r="M5" s="27" t="s">
        <v>278</v>
      </c>
      <c r="N5" s="27" t="s">
        <v>182</v>
      </c>
      <c r="O5" s="27" t="s">
        <v>280</v>
      </c>
      <c r="P5" s="27" t="s">
        <v>184</v>
      </c>
      <c r="Q5" s="27" t="s">
        <v>181</v>
      </c>
      <c r="R5" s="27" t="s">
        <v>178</v>
      </c>
      <c r="S5" s="27" t="s">
        <v>6</v>
      </c>
      <c r="T5" s="28" t="s">
        <v>7</v>
      </c>
      <c r="U5" s="1" t="s">
        <v>5</v>
      </c>
      <c r="V5" s="1" t="s">
        <v>270</v>
      </c>
      <c r="W5" s="1" t="s">
        <v>229</v>
      </c>
      <c r="X5" s="1" t="s">
        <v>230</v>
      </c>
      <c r="Y5" s="1" t="s">
        <v>231</v>
      </c>
      <c r="Z5" s="1" t="s">
        <v>232</v>
      </c>
      <c r="AA5" s="1" t="s">
        <v>233</v>
      </c>
      <c r="AB5" s="1" t="s">
        <v>234</v>
      </c>
      <c r="AC5" s="1" t="s">
        <v>235</v>
      </c>
      <c r="AD5" s="1" t="s">
        <v>236</v>
      </c>
      <c r="AE5" s="1" t="s">
        <v>278</v>
      </c>
      <c r="AF5" s="1" t="s">
        <v>237</v>
      </c>
      <c r="AG5" s="1" t="s">
        <v>280</v>
      </c>
      <c r="AH5" s="1" t="s">
        <v>238</v>
      </c>
      <c r="AI5" s="1" t="s">
        <v>239</v>
      </c>
      <c r="AJ5" s="1" t="s">
        <v>240</v>
      </c>
      <c r="AK5" s="1" t="s">
        <v>6</v>
      </c>
      <c r="AL5" s="1" t="s">
        <v>7</v>
      </c>
      <c r="AM5" s="49" t="s">
        <v>5</v>
      </c>
      <c r="AN5" s="1" t="s">
        <v>229</v>
      </c>
      <c r="AO5" s="1" t="s">
        <v>230</v>
      </c>
      <c r="AP5" s="1" t="s">
        <v>231</v>
      </c>
      <c r="AQ5" s="1" t="s">
        <v>232</v>
      </c>
      <c r="AR5" s="1" t="s">
        <v>233</v>
      </c>
      <c r="AS5" s="1" t="s">
        <v>234</v>
      </c>
      <c r="AT5" s="1" t="s">
        <v>235</v>
      </c>
      <c r="AU5" s="1" t="s">
        <v>236</v>
      </c>
      <c r="AV5" s="1" t="s">
        <v>278</v>
      </c>
      <c r="AW5" s="1" t="s">
        <v>237</v>
      </c>
      <c r="AX5" s="1" t="s">
        <v>280</v>
      </c>
      <c r="AY5" s="1" t="s">
        <v>238</v>
      </c>
      <c r="AZ5" s="1" t="s">
        <v>239</v>
      </c>
      <c r="BA5" s="1" t="s">
        <v>240</v>
      </c>
      <c r="BB5" s="1" t="s">
        <v>6</v>
      </c>
      <c r="BC5" s="50" t="s">
        <v>7</v>
      </c>
      <c r="BD5" s="1" t="s">
        <v>5</v>
      </c>
      <c r="BE5" s="1" t="s">
        <v>201</v>
      </c>
      <c r="BF5" s="1" t="s">
        <v>229</v>
      </c>
      <c r="BG5" s="1" t="s">
        <v>230</v>
      </c>
      <c r="BH5" s="1" t="s">
        <v>231</v>
      </c>
      <c r="BI5" s="1" t="s">
        <v>232</v>
      </c>
      <c r="BJ5" s="1" t="s">
        <v>233</v>
      </c>
      <c r="BK5" s="1" t="s">
        <v>234</v>
      </c>
      <c r="BL5" s="1" t="s">
        <v>235</v>
      </c>
      <c r="BM5" s="1" t="s">
        <v>236</v>
      </c>
      <c r="BN5" s="1" t="s">
        <v>278</v>
      </c>
      <c r="BO5" s="1" t="s">
        <v>245</v>
      </c>
      <c r="BP5" s="1" t="s">
        <v>279</v>
      </c>
      <c r="BQ5" s="1" t="s">
        <v>246</v>
      </c>
      <c r="BR5" s="1" t="s">
        <v>239</v>
      </c>
      <c r="BS5" s="1" t="s">
        <v>240</v>
      </c>
      <c r="BT5" s="1" t="s">
        <v>6</v>
      </c>
      <c r="BU5" s="1" t="s">
        <v>7</v>
      </c>
    </row>
    <row r="6" spans="1:75" x14ac:dyDescent="0.3">
      <c r="A6" s="76" t="s">
        <v>1</v>
      </c>
      <c r="B6" s="76" t="s">
        <v>26</v>
      </c>
      <c r="C6" s="2" t="s">
        <v>0</v>
      </c>
      <c r="D6" s="1" t="s">
        <v>10</v>
      </c>
      <c r="E6" s="3">
        <v>3190</v>
      </c>
      <c r="F6" s="3">
        <f>ROUND(P6/L6,-1)</f>
        <v>3100</v>
      </c>
      <c r="G6" s="3" t="str">
        <f>IF(H6&gt;0,"매수",IF(H6=0,"","매도"))</f>
        <v>매도</v>
      </c>
      <c r="H6" s="3">
        <f>F6-E6</f>
        <v>-90</v>
      </c>
      <c r="I6" s="3">
        <f>ABS(H6)</f>
        <v>90</v>
      </c>
      <c r="J6" s="3">
        <f>I6*L6</f>
        <v>67358.7</v>
      </c>
      <c r="K6" s="3" t="s">
        <v>272</v>
      </c>
      <c r="L6" s="4">
        <f>_xll.BDP(D6,"PX_LAST")</f>
        <v>748.43</v>
      </c>
      <c r="M6" s="57">
        <f>_xll.BDP(D6,"CHG_PCT_1D")/100</f>
        <v>-8.9440660000000003E-4</v>
      </c>
      <c r="N6" s="3">
        <f>E6*L6</f>
        <v>2387491.6999999997</v>
      </c>
      <c r="O6" s="3">
        <f>EMP1호[[#This Row],[평가금액]]*EMP1호[[#This Row],[등락율]]</f>
        <v>-2135.3883339252197</v>
      </c>
      <c r="P6" s="3">
        <f>$E$2*R6</f>
        <v>2320000</v>
      </c>
      <c r="Q6" s="9">
        <f>N6/$E$2</f>
        <v>0.23874916999999998</v>
      </c>
      <c r="R6" s="8">
        <v>0.23200000000000001</v>
      </c>
      <c r="S6" s="3">
        <f>_xll.BDP(D6,"CUR_MKT_CAP")/1000000</f>
        <v>885093.3125</v>
      </c>
      <c r="T6" s="3">
        <f>_xll.BDP(D6, "INTERVAL_AVG", "MARKET_DATA_OVERRIDE=TURNOVER", "PERIODICITY_OVERRIDE=D","CALC_INTERVAL=2M")/1000000</f>
        <v>7332.7666749999999</v>
      </c>
      <c r="U6" s="1" t="s">
        <v>73</v>
      </c>
      <c r="W6" s="3">
        <v>5200</v>
      </c>
      <c r="X6" s="3">
        <f>ROUND(AH6/AD6,-1)</f>
        <v>5150</v>
      </c>
      <c r="Y6" s="3" t="str">
        <f>IF(Z6&gt;0,"매수",IF(Z6=0,"","매도"))</f>
        <v>매도</v>
      </c>
      <c r="Z6" s="3">
        <f>X6-W6</f>
        <v>-50</v>
      </c>
      <c r="AA6" s="3">
        <f>ABS(Z6)</f>
        <v>50</v>
      </c>
      <c r="AB6" s="3">
        <f>AA6*AD6</f>
        <v>34242</v>
      </c>
      <c r="AC6" s="3"/>
      <c r="AD6" s="4">
        <f>_xll.BDP(U6,"PX_LAST")</f>
        <v>684.84</v>
      </c>
      <c r="AE6" s="57">
        <f>_xll.BDP(U6,"CHG_PCT_1D")/100</f>
        <v>-9.0450209999999999E-4</v>
      </c>
      <c r="AF6" s="3">
        <f>W6*AD6</f>
        <v>3561168</v>
      </c>
      <c r="AG6" s="3">
        <f>EMP2호[[#This Row],[평가금액]]*EMP2호[[#This Row],[등락율]]*$A$5</f>
        <v>-4874466.3180074217</v>
      </c>
      <c r="AH6" s="3">
        <f>$W$2*AJ6</f>
        <v>3525000</v>
      </c>
      <c r="AI6" s="9">
        <f>AF6/$W$2</f>
        <v>0.23741119999999999</v>
      </c>
      <c r="AJ6" s="8">
        <v>0.23499999999999999</v>
      </c>
      <c r="AK6" s="3">
        <f>_xll.BDP(U6,"CUR_MKT_CAP")/1000000</f>
        <v>980534.625</v>
      </c>
      <c r="AL6" s="3">
        <f>_xll.BDP(U6, "INTERVAL_AVG", "MARKET_DATA_OVERRIDE=TURNOVER", "PERIODICITY_OVERRIDE=D","CALC_INTERVAL=2M")/1000000</f>
        <v>6380.8885250000012</v>
      </c>
      <c r="AM6" s="1" t="s">
        <v>98</v>
      </c>
      <c r="AN6" s="3">
        <v>2280</v>
      </c>
      <c r="AO6" s="3">
        <f>ROUND(AY6/AU6,-1)</f>
        <v>0</v>
      </c>
      <c r="AP6" s="3" t="str">
        <f>IF(AQ6&gt;0,"매수",IF(AQ6=0,"","매도"))</f>
        <v>매도</v>
      </c>
      <c r="AQ6" s="3">
        <f>AO6-AN6</f>
        <v>-2280</v>
      </c>
      <c r="AR6" s="3">
        <f>ABS(AQ6)</f>
        <v>2280</v>
      </c>
      <c r="AS6" s="3">
        <f>AR6*AU6</f>
        <v>1698098.4</v>
      </c>
      <c r="AT6" s="3" t="s">
        <v>274</v>
      </c>
      <c r="AU6" s="4">
        <f>_xll.BDP(AM6,"PX_LAST")</f>
        <v>744.78</v>
      </c>
      <c r="AV6" s="57">
        <f>_xll.BDP(AM6,"CHG_PCT_1D")/100</f>
        <v>-1.3140959999999998E-3</v>
      </c>
      <c r="AW6" s="3">
        <f>AN6*AU6</f>
        <v>1698098.4</v>
      </c>
      <c r="AX6" s="3">
        <f>EMP3호[[#This Row],[평가금액]]*EMP3호[[#This Row],[등락율]]</f>
        <v>-2231.4643150463994</v>
      </c>
      <c r="AY6" s="3">
        <f>$AN$2*BA6</f>
        <v>0</v>
      </c>
      <c r="AZ6" s="9">
        <f>AW6/$AN$2</f>
        <v>0.16980983999999999</v>
      </c>
      <c r="BA6" s="68"/>
      <c r="BB6" s="3">
        <f>_xll.BDP(AM6,"CUR_MKT_CAP")/1000000</f>
        <v>777946.6875</v>
      </c>
      <c r="BC6" s="51">
        <f>_xll.BDP(AM6, "INTERVAL_AVG", "MARKET_DATA_OVERRIDE=TURNOVER", "PERIODICITY_OVERRIDE=D","CALC_INTERVAL=2M")/1000000</f>
        <v>41402.401749999997</v>
      </c>
      <c r="BD6" s="1" t="s">
        <v>132</v>
      </c>
      <c r="BF6" s="3">
        <v>0</v>
      </c>
      <c r="BG6" s="3">
        <f>IF(BE6&lt;&gt;"",ROUND(BQ6/BM6,-1), ROUND(BQ6/(BM6*$A$5),-1))</f>
        <v>0</v>
      </c>
      <c r="BH6" s="1" t="str">
        <f>IF(BI6&gt;0,"매수",IF(BI6=0,"","매도"))</f>
        <v/>
      </c>
      <c r="BI6" s="3">
        <f>BG6-BF6</f>
        <v>0</v>
      </c>
      <c r="BJ6" s="3">
        <f>ABS(BI6)</f>
        <v>0</v>
      </c>
      <c r="BK6" s="3">
        <f>IF(BE6&lt;&gt;"",BJ6*BM6,BJ6*BM6*$A$5)</f>
        <v>0</v>
      </c>
      <c r="BM6" s="3">
        <f>_xll.BDP(BD6,"PX_LAST")</f>
        <v>87.67</v>
      </c>
      <c r="BN6" s="57">
        <f>_xll.BDP(BD6,"CHG_PCT_1D")/100</f>
        <v>-1.1393409999999999E-3</v>
      </c>
      <c r="BO6" s="3">
        <f>IF(BE6&lt;&gt;"",BF6*BM6,BF6*BM6*$A$5)</f>
        <v>0</v>
      </c>
      <c r="BP6" s="3">
        <f>EMP4호[[#This Row],[평가금액(원)]]*EMP4호[[#This Row],[등락율]]</f>
        <v>0</v>
      </c>
      <c r="BQ6" s="3">
        <f>$BE$2*BS6</f>
        <v>0</v>
      </c>
      <c r="BR6" s="7">
        <f>BO6/$BE$2</f>
        <v>0</v>
      </c>
      <c r="BS6" s="8"/>
      <c r="BT6" s="3">
        <f>_xll.BDP(BD6,"CUR_MKT_CAP")/1000000</f>
        <v>155964.921875</v>
      </c>
      <c r="BU6" s="3">
        <f>_xll.BDP(BD6, "INTERVAL_AVG", "MARKET_DATA_OVERRIDE=TURNOVER", "PERIODICITY_OVERRIDE=D","CALC_INTERVAL=2M")/1000000</f>
        <v>1187.2660049999997</v>
      </c>
    </row>
    <row r="7" spans="1:75" x14ac:dyDescent="0.3">
      <c r="A7" s="76"/>
      <c r="B7" s="76"/>
      <c r="C7" s="2" t="s">
        <v>218</v>
      </c>
      <c r="E7" s="3"/>
      <c r="F7" s="3"/>
      <c r="G7" s="3"/>
      <c r="H7" s="3"/>
      <c r="I7" s="3"/>
      <c r="J7" s="3"/>
      <c r="K7" s="3"/>
      <c r="L7" s="4"/>
      <c r="M7" s="4"/>
      <c r="N7" s="3"/>
      <c r="O7" s="3"/>
      <c r="P7" s="3"/>
      <c r="Q7" s="9"/>
      <c r="R7" s="8"/>
      <c r="S7" s="3"/>
      <c r="T7" s="3"/>
      <c r="W7" s="3"/>
      <c r="AE7" s="4"/>
      <c r="AG7" s="3"/>
      <c r="AH7" s="3"/>
      <c r="AJ7" s="8"/>
      <c r="AK7" s="3"/>
      <c r="AL7" s="3"/>
      <c r="AN7" s="3"/>
      <c r="AZ7" s="9"/>
      <c r="BA7" s="68"/>
      <c r="BB7" s="3"/>
      <c r="BC7" s="51"/>
      <c r="BD7" s="75" t="s">
        <v>347</v>
      </c>
      <c r="BE7" s="1" t="s">
        <v>212</v>
      </c>
      <c r="BF7" s="3">
        <v>217850</v>
      </c>
      <c r="BG7" s="3">
        <f t="shared" ref="BG7" si="0">IF(BE7&lt;&gt;"",ROUND(BQ7/BM7,-1), ROUND(BQ7/(BM7*$A$5),-1))</f>
        <v>0</v>
      </c>
      <c r="BH7" s="1" t="str">
        <f t="shared" ref="BH7" si="1">IF(BI7&gt;0,"매수",IF(BI7=0,"","매도"))</f>
        <v>매도</v>
      </c>
      <c r="BI7" s="3">
        <f t="shared" ref="BI7" si="2">BG7-BF7</f>
        <v>-217850</v>
      </c>
      <c r="BJ7" s="3">
        <f t="shared" ref="BJ7" si="3">ABS(BI7)</f>
        <v>217850</v>
      </c>
      <c r="BK7" s="3">
        <f t="shared" ref="BK7" si="4">IF(BE7&lt;&gt;"",BJ7*BM7,BJ7*BM7*$A$5)</f>
        <v>3669683250</v>
      </c>
      <c r="BM7" s="67">
        <f>_xll.IMDP("STK",$BD7,"현재가")</f>
        <v>16845</v>
      </c>
      <c r="BN7" s="57">
        <f>_xll.IMDP("STK",$BD7,"등락률")/100</f>
        <v>0</v>
      </c>
      <c r="BO7" s="3">
        <f t="shared" ref="BO7" si="5">IF(BE7&lt;&gt;"",BF7*BM7,BF7*BM7*$A$5)</f>
        <v>3669683250</v>
      </c>
      <c r="BP7" s="3">
        <f>EMP4호[[#This Row],[평가금액(원)]]*EMP4호[[#This Row],[등락율]]</f>
        <v>0</v>
      </c>
      <c r="BQ7" s="3">
        <f t="shared" ref="BQ7" si="6">$BE$2*BS7</f>
        <v>0</v>
      </c>
      <c r="BR7" s="7">
        <f t="shared" ref="BR7" si="7">BO7/$BE$2</f>
        <v>0.18348416249999999</v>
      </c>
      <c r="BS7" s="8"/>
      <c r="BT7" s="3" t="e">
        <f>_xll.BDP(BD7,"CUR_MKT_CAP")/1000000</f>
        <v>#VALUE!</v>
      </c>
      <c r="BU7" s="3" t="e">
        <f>_xll.BDP(BD7, "INTERVAL_AVG", "MARKET_DATA_OVERRIDE=TURNOVER", "PERIODICITY_OVERRIDE=D","CALC_INTERVAL=2M")/1000000</f>
        <v>#VALUE!</v>
      </c>
    </row>
    <row r="8" spans="1:75" x14ac:dyDescent="0.3">
      <c r="A8" s="76"/>
      <c r="B8" s="76"/>
      <c r="C8" s="2" t="s">
        <v>2</v>
      </c>
      <c r="D8" s="1" t="s">
        <v>11</v>
      </c>
      <c r="E8" s="3">
        <v>1280</v>
      </c>
      <c r="F8" s="3">
        <f>ROUND(P8/L8,-1)</f>
        <v>1220</v>
      </c>
      <c r="G8" s="3" t="str">
        <f t="shared" ref="G8:G68" si="8">IF(H8&gt;0,"매수",IF(H8=0,"","매도"))</f>
        <v>매도</v>
      </c>
      <c r="H8" s="3">
        <f t="shared" ref="H8:H68" si="9">F8-E8</f>
        <v>-60</v>
      </c>
      <c r="I8" s="3">
        <f t="shared" ref="I8:I68" si="10">ABS(H8)</f>
        <v>60</v>
      </c>
      <c r="J8" s="3">
        <f>I8*L8</f>
        <v>42756</v>
      </c>
      <c r="K8" s="3" t="s">
        <v>272</v>
      </c>
      <c r="L8" s="4">
        <f>_xll.BDP(D8,"PX_LAST")</f>
        <v>712.6</v>
      </c>
      <c r="M8" s="57">
        <f>_xll.BDP(D8,"CHG_PCT_1D")/100</f>
        <v>-1.7333870000000001E-2</v>
      </c>
      <c r="N8" s="3">
        <f>E8*L8</f>
        <v>912128</v>
      </c>
      <c r="O8" s="3">
        <f>EMP1호[[#This Row],[평가금액]]*EMP1호[[#This Row],[등락율]]</f>
        <v>-15810.708175360001</v>
      </c>
      <c r="P8" s="3">
        <f t="shared" ref="P8:P68" si="11">$E$2*R8</f>
        <v>869999.99999999988</v>
      </c>
      <c r="Q8" s="9">
        <f>N8/$E$2</f>
        <v>9.1212799999999997E-2</v>
      </c>
      <c r="R8" s="8">
        <v>8.6999999999999994E-2</v>
      </c>
      <c r="S8" s="3">
        <f>_xll.BDP(D8,"CUR_MKT_CAP")/1000000</f>
        <v>481325.65625</v>
      </c>
      <c r="T8" s="3">
        <f>_xll.BDP(D8, "INTERVAL_AVG", "MARKET_DATA_OVERRIDE=TURNOVER", "PERIODICITY_OVERRIDE=D","CALC_INTERVAL=2M")/1000000</f>
        <v>33541.681499999999</v>
      </c>
      <c r="W8" s="3"/>
      <c r="AE8" s="4"/>
      <c r="AG8" s="3"/>
      <c r="AH8" s="3"/>
      <c r="AJ8" s="8"/>
      <c r="AK8" s="3"/>
      <c r="AL8" s="3"/>
      <c r="AM8" s="1" t="s">
        <v>99</v>
      </c>
      <c r="AN8" s="3">
        <v>1900</v>
      </c>
      <c r="AO8" s="3">
        <f>ROUND(AY8/AU8,-1)</f>
        <v>0</v>
      </c>
      <c r="AP8" s="3" t="str">
        <f>IF(AQ8&gt;0,"매수",IF(AQ8=0,"","매도"))</f>
        <v>매도</v>
      </c>
      <c r="AQ8" s="3">
        <f>AO8-AN8</f>
        <v>-1900</v>
      </c>
      <c r="AR8" s="3">
        <f>ABS(AQ8)</f>
        <v>1900</v>
      </c>
      <c r="AS8" s="3">
        <f>AR8*AU8</f>
        <v>557498</v>
      </c>
      <c r="AT8" s="3" t="s">
        <v>274</v>
      </c>
      <c r="AU8" s="4">
        <f>_xll.BDP(AM8,"PX_LAST")</f>
        <v>293.42</v>
      </c>
      <c r="AV8" s="57">
        <f>_xll.BDP(AM8,"CHG_PCT_1D")/100</f>
        <v>-1.7380530000000002E-2</v>
      </c>
      <c r="AW8" s="3">
        <f>AN8*AU8</f>
        <v>557498</v>
      </c>
      <c r="AX8" s="3">
        <f>EMP3호[[#This Row],[평가금액]]*EMP3호[[#This Row],[등락율]]</f>
        <v>-9689.610713940001</v>
      </c>
      <c r="AY8" s="3">
        <f>$AN$2*BA8</f>
        <v>0</v>
      </c>
      <c r="AZ8" s="9">
        <f t="shared" ref="AZ8:AZ68" si="12">AW8/$AN$2</f>
        <v>5.5749800000000002E-2</v>
      </c>
      <c r="BA8" s="68"/>
      <c r="BB8" s="3">
        <f>_xll.BDP(AM8,"CUR_MKT_CAP")/1000000</f>
        <v>98295.703125</v>
      </c>
      <c r="BC8" s="51">
        <f>_xll.BDP(AM8, "INTERVAL_AVG", "MARKET_DATA_OVERRIDE=TURNOVER", "PERIODICITY_OVERRIDE=D","CALC_INTERVAL=2M")/1000000</f>
        <v>1344.2100900000005</v>
      </c>
      <c r="BD8" s="1" t="s">
        <v>213</v>
      </c>
      <c r="BE8" s="1" t="s">
        <v>214</v>
      </c>
      <c r="BF8" s="3">
        <v>0</v>
      </c>
      <c r="BG8" s="3">
        <f t="shared" ref="BG8:BG23" si="13">IF(BE8&lt;&gt;"",ROUND(BQ8/BM8,-1), ROUND(BQ8/(BM8*$A$5),-1))</f>
        <v>0</v>
      </c>
      <c r="BH8" s="1" t="str">
        <f t="shared" ref="BH8:BH23" si="14">IF(BI8&gt;0,"매수",IF(BI8=0,"","매도"))</f>
        <v/>
      </c>
      <c r="BI8" s="3">
        <f>BG8-BF8</f>
        <v>0</v>
      </c>
      <c r="BJ8" s="3">
        <f>ABS(BI8)</f>
        <v>0</v>
      </c>
      <c r="BK8" s="3">
        <f>IF(BE8&lt;&gt;"",BJ8*BM8,BJ8*BM8*$A$5)</f>
        <v>0</v>
      </c>
      <c r="BM8" s="3">
        <f>_xll.BDP(BD8,"PX_LAST")</f>
        <v>22390</v>
      </c>
      <c r="BN8" s="4">
        <f>_xll.BDP(BD8,"CHG_PCT_1D")/100</f>
        <v>-2.0057949999999999E-3</v>
      </c>
      <c r="BO8" s="3">
        <f t="shared" ref="BO8:BO23" si="15">IF(BE8&lt;&gt;"",BF8*BM8,BF8*BM8*$A$5)</f>
        <v>0</v>
      </c>
      <c r="BP8" s="3">
        <f>EMP4호[[#This Row],[평가금액(원)]]*EMP4호[[#This Row],[등락율]]</f>
        <v>0</v>
      </c>
      <c r="BQ8" s="3">
        <f>$BE$2*BS8</f>
        <v>0</v>
      </c>
      <c r="BR8" s="7">
        <f t="shared" ref="BR8:BR68" si="16">BO8/$BE$2</f>
        <v>0</v>
      </c>
      <c r="BS8" s="8"/>
      <c r="BT8" s="3">
        <f>_xll.BDP(BD8,"CUR_MKT_CAP")/1000000</f>
        <v>594454.5</v>
      </c>
      <c r="BU8" s="3">
        <f>_xll.BDP(BD8, "INTERVAL_AVG", "MARKET_DATA_OVERRIDE=TURNOVER", "PERIODICITY_OVERRIDE=D","CALC_INTERVAL=2M")/1000000</f>
        <v>9769.5365121951218</v>
      </c>
    </row>
    <row r="9" spans="1:75" x14ac:dyDescent="0.3">
      <c r="A9" s="76"/>
      <c r="B9" s="76"/>
      <c r="C9" s="2" t="s">
        <v>219</v>
      </c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  <c r="Q9" s="9"/>
      <c r="R9" s="8"/>
      <c r="S9" s="3"/>
      <c r="T9" s="3"/>
      <c r="W9" s="3"/>
      <c r="AE9" s="4"/>
      <c r="AG9" s="3"/>
      <c r="AH9" s="3"/>
      <c r="AJ9" s="8"/>
      <c r="AK9" s="3"/>
      <c r="AL9" s="3"/>
      <c r="AN9" s="3"/>
      <c r="AZ9" s="9"/>
      <c r="BA9" s="68"/>
      <c r="BB9" s="3"/>
      <c r="BC9" s="51"/>
      <c r="BD9" s="1" t="s">
        <v>215</v>
      </c>
      <c r="BE9" s="1" t="s">
        <v>216</v>
      </c>
      <c r="BF9" s="3">
        <v>0</v>
      </c>
      <c r="BG9" s="3">
        <f t="shared" si="13"/>
        <v>0</v>
      </c>
      <c r="BH9" s="1" t="str">
        <f t="shared" si="14"/>
        <v/>
      </c>
      <c r="BI9" s="3">
        <f>BG9-BF9</f>
        <v>0</v>
      </c>
      <c r="BJ9" s="3">
        <f>ABS(BI9)</f>
        <v>0</v>
      </c>
      <c r="BK9" s="3">
        <f>IF(BE9&lt;&gt;"",BJ9*BM9,BJ9*BM9*$A$5)</f>
        <v>0</v>
      </c>
      <c r="BM9" s="3">
        <f>_xll.BDP(BD9,"PX_LAST")</f>
        <v>55200</v>
      </c>
      <c r="BN9" s="4">
        <f>_xll.BDP(BD9,"CHG_PCT_1D")/100</f>
        <v>-4.5560650000000001E-2</v>
      </c>
      <c r="BO9" s="3">
        <f t="shared" si="15"/>
        <v>0</v>
      </c>
      <c r="BP9" s="3">
        <f>EMP4호[[#This Row],[평가금액(원)]]*EMP4호[[#This Row],[등락율]]</f>
        <v>0</v>
      </c>
      <c r="BQ9" s="3">
        <f t="shared" ref="BQ9:BQ23" si="17">$BE$2*BS9</f>
        <v>0</v>
      </c>
      <c r="BR9" s="7">
        <f t="shared" si="16"/>
        <v>0</v>
      </c>
      <c r="BS9" s="8"/>
      <c r="BT9" s="3">
        <f>_xll.BDP(BD9,"CUR_MKT_CAP")/1000000</f>
        <v>2644080</v>
      </c>
      <c r="BU9" s="3">
        <f>_xll.BDP(BD9, "INTERVAL_AVG", "MARKET_DATA_OVERRIDE=TURNOVER", "PERIODICITY_OVERRIDE=D","CALC_INTERVAL=2M")/1000000</f>
        <v>101439.67317073175</v>
      </c>
    </row>
    <row r="10" spans="1:75" x14ac:dyDescent="0.3">
      <c r="A10" s="76"/>
      <c r="B10" s="76"/>
      <c r="C10" s="2" t="s">
        <v>12</v>
      </c>
      <c r="E10" s="3"/>
      <c r="F10" s="3"/>
      <c r="G10" s="3" t="str">
        <f t="shared" si="8"/>
        <v/>
      </c>
      <c r="H10" s="3"/>
      <c r="I10" s="3"/>
      <c r="J10" s="3"/>
      <c r="K10" s="3"/>
      <c r="L10" s="4"/>
      <c r="M10" s="4"/>
      <c r="N10" s="4"/>
      <c r="O10" s="4"/>
      <c r="P10" s="4"/>
      <c r="R10" s="8"/>
      <c r="S10" s="3"/>
      <c r="T10" s="3"/>
      <c r="W10" s="3"/>
      <c r="AE10" s="4"/>
      <c r="AG10" s="3"/>
      <c r="AH10" s="3"/>
      <c r="AJ10" s="8"/>
      <c r="AK10" s="3"/>
      <c r="AL10" s="3"/>
      <c r="AM10" s="1" t="s">
        <v>100</v>
      </c>
      <c r="AN10" s="3">
        <v>820</v>
      </c>
      <c r="AO10" s="3">
        <f>ROUND(AY10/AU10,-1)</f>
        <v>0</v>
      </c>
      <c r="AP10" s="3" t="str">
        <f>IF(AQ10&gt;0,"매수",IF(AQ10=0,"","매도"))</f>
        <v>매도</v>
      </c>
      <c r="AQ10" s="3">
        <f>AO10-AN10</f>
        <v>-820</v>
      </c>
      <c r="AR10" s="3">
        <f>ABS(AQ10)</f>
        <v>820</v>
      </c>
      <c r="AS10" s="3">
        <f>AR10*AU10</f>
        <v>432861.6</v>
      </c>
      <c r="AT10" s="3" t="s">
        <v>274</v>
      </c>
      <c r="AU10" s="4">
        <f>_xll.BDP(AM10,"PX_LAST")</f>
        <v>527.88</v>
      </c>
      <c r="AV10" s="57">
        <f>_xll.BDP(AM10,"CHG_PCT_1D")/100</f>
        <v>1.0490049999999999E-2</v>
      </c>
      <c r="AW10" s="3">
        <f>AN10*AU10</f>
        <v>432861.6</v>
      </c>
      <c r="AX10" s="3">
        <f>EMP3호[[#This Row],[평가금액]]*EMP3호[[#This Row],[등락율]]</f>
        <v>4540.7398270799995</v>
      </c>
      <c r="AY10" s="3">
        <f>$AN$2*BA10</f>
        <v>0</v>
      </c>
      <c r="AZ10" s="9">
        <f t="shared" si="12"/>
        <v>4.3286159999999997E-2</v>
      </c>
      <c r="BA10" s="68"/>
      <c r="BB10" s="3">
        <f>_xll.BDP(AM10,"CUR_MKT_CAP")/1000000</f>
        <v>46555.25</v>
      </c>
      <c r="BC10" s="51">
        <f>_xll.BDP(AM10, "INTERVAL_AVG", "MARKET_DATA_OVERRIDE=TURNOVER", "PERIODICITY_OVERRIDE=D","CALC_INTERVAL=2M")/1000000</f>
        <v>2632.6755750000002</v>
      </c>
      <c r="BF10" s="3"/>
      <c r="BM10" s="3"/>
      <c r="BN10" s="4"/>
      <c r="BO10" s="3"/>
      <c r="BP10" s="3"/>
      <c r="BR10" s="7"/>
      <c r="BS10" s="8"/>
      <c r="BT10" s="3"/>
      <c r="BU10" s="3"/>
    </row>
    <row r="11" spans="1:75" x14ac:dyDescent="0.3">
      <c r="A11" s="76"/>
      <c r="B11" s="76"/>
      <c r="C11" s="2" t="s">
        <v>13</v>
      </c>
      <c r="E11" s="3"/>
      <c r="F11" s="3"/>
      <c r="G11" s="3" t="str">
        <f t="shared" si="8"/>
        <v/>
      </c>
      <c r="H11" s="3"/>
      <c r="I11" s="3"/>
      <c r="J11" s="3"/>
      <c r="K11" s="3"/>
      <c r="L11" s="4"/>
      <c r="M11" s="4"/>
      <c r="N11" s="4"/>
      <c r="O11" s="4"/>
      <c r="P11" s="4"/>
      <c r="R11" s="8"/>
      <c r="S11" s="3"/>
      <c r="T11" s="3"/>
      <c r="W11" s="3"/>
      <c r="AE11" s="4"/>
      <c r="AG11" s="3"/>
      <c r="AH11" s="3"/>
      <c r="AJ11" s="8"/>
      <c r="AK11" s="3"/>
      <c r="AL11" s="3"/>
      <c r="AM11" s="1" t="s">
        <v>101</v>
      </c>
      <c r="AN11" s="3">
        <v>2500</v>
      </c>
      <c r="AO11" s="3">
        <f>ROUND(AY11/AU11,-1)</f>
        <v>0</v>
      </c>
      <c r="AP11" s="3" t="str">
        <f>IF(AQ11&gt;0,"매수",IF(AQ11=0,"","매도"))</f>
        <v>매도</v>
      </c>
      <c r="AQ11" s="3">
        <f>AO11-AN11</f>
        <v>-2500</v>
      </c>
      <c r="AR11" s="3">
        <f>ABS(AQ11)</f>
        <v>2500</v>
      </c>
      <c r="AS11" s="3">
        <f>AR11*AU11</f>
        <v>743950</v>
      </c>
      <c r="AT11" s="3" t="s">
        <v>274</v>
      </c>
      <c r="AU11" s="4">
        <f>_xll.BDP(AM11,"PX_LAST")</f>
        <v>297.58</v>
      </c>
      <c r="AV11" s="57">
        <f>_xll.BDP(AM11,"CHG_PCT_1D")/100</f>
        <v>-5.8131770000000001E-3</v>
      </c>
      <c r="AW11" s="3">
        <f>AN11*AU11</f>
        <v>743950</v>
      </c>
      <c r="AX11" s="3">
        <f>EMP3호[[#This Row],[평가금액]]*EMP3호[[#This Row],[등락율]]</f>
        <v>-4324.7130291499998</v>
      </c>
      <c r="AY11" s="3">
        <f>$AN$2*BA11</f>
        <v>0</v>
      </c>
      <c r="AZ11" s="9">
        <f t="shared" si="12"/>
        <v>7.4395000000000003E-2</v>
      </c>
      <c r="BA11" s="68"/>
      <c r="BB11" s="3">
        <f>_xll.BDP(AM11,"CUR_MKT_CAP")/1000000</f>
        <v>81715.4609375</v>
      </c>
      <c r="BC11" s="51">
        <f>_xll.BDP(AM11, "INTERVAL_AVG", "MARKET_DATA_OVERRIDE=TURNOVER", "PERIODICITY_OVERRIDE=D","CALC_INTERVAL=2M")/1000000</f>
        <v>8015.485924999999</v>
      </c>
      <c r="BD11" s="1" t="s">
        <v>133</v>
      </c>
      <c r="BF11" s="3">
        <v>0</v>
      </c>
      <c r="BG11" s="3">
        <f t="shared" si="13"/>
        <v>0</v>
      </c>
      <c r="BH11" s="1" t="str">
        <f t="shared" si="14"/>
        <v/>
      </c>
      <c r="BI11" s="3">
        <f>BG11-BF11</f>
        <v>0</v>
      </c>
      <c r="BJ11" s="3">
        <f>ABS(BI11)</f>
        <v>0</v>
      </c>
      <c r="BK11" s="3">
        <f>IF(BE11&lt;&gt;"",BJ11*BM11,BJ11*BM11*$A$5)</f>
        <v>0</v>
      </c>
      <c r="BM11" s="3">
        <f>_xll.BDP(BD11,"PX_LAST")</f>
        <v>121.16</v>
      </c>
      <c r="BN11" s="4">
        <f>_xll.BDP(BD11,"CHG_PCT_1D")/100</f>
        <v>-1.5119489999999999E-2</v>
      </c>
      <c r="BO11" s="3">
        <f t="shared" si="15"/>
        <v>0</v>
      </c>
      <c r="BP11" s="3">
        <f>EMP4호[[#This Row],[평가금액(원)]]*EMP4호[[#This Row],[등락율]]</f>
        <v>0</v>
      </c>
      <c r="BQ11" s="3">
        <f t="shared" si="17"/>
        <v>0</v>
      </c>
      <c r="BR11" s="7">
        <f t="shared" si="16"/>
        <v>0</v>
      </c>
      <c r="BS11" s="8"/>
      <c r="BT11" s="3">
        <f>_xll.BDP(BD11,"CUR_MKT_CAP")/1000000</f>
        <v>125073.46875</v>
      </c>
      <c r="BU11" s="3">
        <f>_xll.BDP(BD11, "INTERVAL_AVG", "MARKET_DATA_OVERRIDE=TURNOVER", "PERIODICITY_OVERRIDE=D","CALC_INTERVAL=2M")/1000000</f>
        <v>683.67370749999986</v>
      </c>
      <c r="BW11" t="s">
        <v>134</v>
      </c>
    </row>
    <row r="12" spans="1:75" x14ac:dyDescent="0.3">
      <c r="A12" s="76"/>
      <c r="B12" s="77" t="s">
        <v>179</v>
      </c>
      <c r="C12" s="2" t="s">
        <v>14</v>
      </c>
      <c r="E12" s="3"/>
      <c r="F12" s="3"/>
      <c r="G12" s="3" t="str">
        <f t="shared" si="8"/>
        <v/>
      </c>
      <c r="H12" s="3"/>
      <c r="I12" s="3"/>
      <c r="J12" s="3"/>
      <c r="K12" s="3"/>
      <c r="L12" s="4"/>
      <c r="M12" s="4"/>
      <c r="N12" s="4"/>
      <c r="O12" s="4"/>
      <c r="P12" s="4"/>
      <c r="Q12" s="9"/>
      <c r="R12" s="8"/>
      <c r="S12" s="3"/>
      <c r="T12" s="3"/>
      <c r="U12" s="1" t="s">
        <v>74</v>
      </c>
      <c r="W12" s="3">
        <v>6410</v>
      </c>
      <c r="X12" s="3">
        <f>ROUND(AH12/AD12,-1)</f>
        <v>6230</v>
      </c>
      <c r="Y12" s="3" t="str">
        <f>IF(Z12&gt;0,"매수",IF(Z12=0,"","매도"))</f>
        <v>매도</v>
      </c>
      <c r="Z12" s="3">
        <f>X12-W12</f>
        <v>-180</v>
      </c>
      <c r="AA12" s="3">
        <f>ABS(Z12)</f>
        <v>180</v>
      </c>
      <c r="AB12" s="3">
        <f>AA12*AD12</f>
        <v>32506.2</v>
      </c>
      <c r="AC12" s="3"/>
      <c r="AD12" s="4">
        <f>_xll.BDP(U12,"PX_LAST")</f>
        <v>180.59</v>
      </c>
      <c r="AE12" s="57">
        <f>_xll.BDP(U12,"CHG_PCT_1D")/100</f>
        <v>-2.7098369999999997E-2</v>
      </c>
      <c r="AF12" s="3">
        <f>W12*AD12</f>
        <v>1157581.8999999999</v>
      </c>
      <c r="AG12" s="3">
        <f>EMP2호[[#This Row],[평가금액]]*EMP2호[[#This Row],[등락율]]*$A$5</f>
        <v>-47470076.096253484</v>
      </c>
      <c r="AH12" s="3">
        <f t="shared" ref="AH12:AH68" si="18">$W$2*AJ12</f>
        <v>1125000</v>
      </c>
      <c r="AI12" s="9">
        <f>AF12/$W$2</f>
        <v>7.717212666666666E-2</v>
      </c>
      <c r="AJ12" s="8">
        <v>7.4999999999999997E-2</v>
      </c>
      <c r="AK12" s="3">
        <f>_xll.BDP(U12,"CUR_MKT_CAP")/1000000</f>
        <v>117521.0703125</v>
      </c>
      <c r="AL12" s="3">
        <f>_xll.BDP(U12, "INTERVAL_AVG", "MARKET_DATA_OVERRIDE=TURNOVER", "PERIODICITY_OVERRIDE=D","CALC_INTERVAL=2M")/1000000</f>
        <v>2539.8710500000007</v>
      </c>
      <c r="AN12" s="3"/>
      <c r="AZ12" s="9"/>
      <c r="BA12" s="68"/>
      <c r="BB12" s="3"/>
      <c r="BC12" s="51"/>
      <c r="BD12" s="1" t="s">
        <v>123</v>
      </c>
      <c r="BF12" s="3">
        <v>2240</v>
      </c>
      <c r="BG12" s="3">
        <f t="shared" si="13"/>
        <v>0</v>
      </c>
      <c r="BH12" s="1" t="str">
        <f t="shared" si="14"/>
        <v>매도</v>
      </c>
      <c r="BI12" s="3">
        <f t="shared" ref="BI12:BI23" si="19">BG12-BF12</f>
        <v>-2240</v>
      </c>
      <c r="BJ12" s="3">
        <f t="shared" ref="BJ12:BJ23" si="20">ABS(BI12)</f>
        <v>2240</v>
      </c>
      <c r="BK12" s="3">
        <f t="shared" ref="BK12:BK23" si="21">IF(BE12&lt;&gt;"",BJ12*BM12,BJ12*BM12*$A$5)</f>
        <v>825346556.15999985</v>
      </c>
      <c r="BM12" s="3">
        <f>_xll.BDP(BD12,"PX_LAST")</f>
        <v>243.48</v>
      </c>
      <c r="BN12" s="57">
        <f>_xll.BDP(BD12,"CHG_PCT_1D")/100</f>
        <v>-2.1185930000000002E-2</v>
      </c>
      <c r="BO12" s="3">
        <f t="shared" si="15"/>
        <v>825346556.15999985</v>
      </c>
      <c r="BP12" s="3">
        <f>EMP4호[[#This Row],[평가금액(원)]]*EMP4호[[#This Row],[등락율]]</f>
        <v>-17485734.364546828</v>
      </c>
      <c r="BQ12" s="3">
        <f t="shared" si="17"/>
        <v>0</v>
      </c>
      <c r="BR12" s="7">
        <f t="shared" si="16"/>
        <v>4.1267327807999993E-2</v>
      </c>
      <c r="BS12" s="8"/>
      <c r="BT12" s="3">
        <f>_xll.BDP(BD12,"CUR_MKT_CAP")/1000000</f>
        <v>24494.087890625</v>
      </c>
      <c r="BU12" s="3">
        <f>_xll.BDP(BD12, "INTERVAL_AVG", "MARKET_DATA_OVERRIDE=TURNOVER", "PERIODICITY_OVERRIDE=D","CALC_INTERVAL=2M")/1000000</f>
        <v>220.66704100000001</v>
      </c>
    </row>
    <row r="13" spans="1:75" x14ac:dyDescent="0.3">
      <c r="A13" s="76"/>
      <c r="B13" s="76"/>
      <c r="C13" s="2" t="s">
        <v>15</v>
      </c>
      <c r="D13" s="1" t="s">
        <v>42</v>
      </c>
      <c r="E13" s="3">
        <v>0</v>
      </c>
      <c r="F13" s="3">
        <f t="shared" ref="F13:F21" si="22">ROUND(P13/L13,-1)</f>
        <v>0</v>
      </c>
      <c r="G13" s="3" t="str">
        <f t="shared" si="8"/>
        <v/>
      </c>
      <c r="H13" s="3">
        <f t="shared" si="9"/>
        <v>0</v>
      </c>
      <c r="I13" s="3">
        <f t="shared" si="10"/>
        <v>0</v>
      </c>
      <c r="J13" s="3">
        <f t="shared" ref="J13:J21" si="23">I13*L13</f>
        <v>0</v>
      </c>
      <c r="K13" s="3" t="s">
        <v>272</v>
      </c>
      <c r="L13" s="4">
        <f>_xll.BDP(D13,"PX_LAST")</f>
        <v>187.85</v>
      </c>
      <c r="M13" s="57">
        <f>_xll.BDP(D13,"CHG_PCT_1D")/100</f>
        <v>-5.0317800000000005E-3</v>
      </c>
      <c r="N13" s="3">
        <f t="shared" ref="N13:N21" si="24">E13*L13</f>
        <v>0</v>
      </c>
      <c r="O13" s="3">
        <f>EMP1호[[#This Row],[평가금액]]*EMP1호[[#This Row],[등락율]]</f>
        <v>0</v>
      </c>
      <c r="P13" s="3">
        <f t="shared" si="11"/>
        <v>0</v>
      </c>
      <c r="Q13" s="9">
        <f>N13/$E$2</f>
        <v>0</v>
      </c>
      <c r="R13" s="8">
        <v>0</v>
      </c>
      <c r="S13" s="3">
        <f>_xll.BDP(D13,"CUR_MKT_CAP")/1000000</f>
        <v>5772.5322265625</v>
      </c>
      <c r="T13" s="3">
        <f>_xll.BDP(D13, "INTERVAL_AVG", "MARKET_DATA_OVERRIDE=TURNOVER", "PERIODICITY_OVERRIDE=D","CALC_INTERVAL=2M")/1000000</f>
        <v>53.140090749999999</v>
      </c>
      <c r="U13" s="1" t="s">
        <v>75</v>
      </c>
      <c r="W13" s="3">
        <v>0</v>
      </c>
      <c r="X13" s="3">
        <f t="shared" ref="X13:X36" si="25">ROUND(AH13/AD13,-1)</f>
        <v>0</v>
      </c>
      <c r="Y13" s="3" t="str">
        <f t="shared" ref="Y13:Y36" si="26">IF(Z13&gt;0,"매수",IF(Z13=0,"","매도"))</f>
        <v/>
      </c>
      <c r="Z13" s="3">
        <f t="shared" ref="Z13:Z36" si="27">X13-W13</f>
        <v>0</v>
      </c>
      <c r="AA13" s="3">
        <f t="shared" ref="AA13:AA36" si="28">ABS(Z13)</f>
        <v>0</v>
      </c>
      <c r="AB13" s="3">
        <f t="shared" ref="AB13:AB36" si="29">AA13*AD13</f>
        <v>0</v>
      </c>
      <c r="AC13" s="3"/>
      <c r="AD13" s="4">
        <f>_xll.BDP(U13,"PX_LAST")</f>
        <v>109.6</v>
      </c>
      <c r="AE13" s="57">
        <f>_xll.BDP(U13,"CHG_PCT_1D")/100</f>
        <v>-1.275743E-3</v>
      </c>
      <c r="AF13" s="3">
        <f t="shared" ref="AF13:AF36" si="30">W13*AD13</f>
        <v>0</v>
      </c>
      <c r="AG13" s="3">
        <f>EMP2호[[#This Row],[평가금액]]*EMP2호[[#This Row],[등락율]]*$A$5</f>
        <v>0</v>
      </c>
      <c r="AH13" s="3">
        <f t="shared" si="18"/>
        <v>0</v>
      </c>
      <c r="AI13" s="9">
        <f t="shared" ref="AI13:AI36" si="31">AF13/$W$2</f>
        <v>0</v>
      </c>
      <c r="AJ13" s="8">
        <v>0</v>
      </c>
      <c r="AK13" s="3">
        <f>_xll.BDP(U13,"CUR_MKT_CAP")/1000000</f>
        <v>23103.6796875</v>
      </c>
      <c r="AL13" s="3">
        <f>_xll.BDP(U13, "INTERVAL_AVG", "MARKET_DATA_OVERRIDE=TURNOVER", "PERIODICITY_OVERRIDE=D","CALC_INTERVAL=2M")/1000000</f>
        <v>721.77864999999986</v>
      </c>
      <c r="AN13" s="3"/>
      <c r="AZ13" s="9"/>
      <c r="BA13" s="68"/>
      <c r="BB13" s="3"/>
      <c r="BC13" s="51"/>
      <c r="BD13" s="1" t="s">
        <v>209</v>
      </c>
      <c r="BF13" s="3">
        <v>0</v>
      </c>
      <c r="BG13" s="3">
        <f t="shared" si="13"/>
        <v>0</v>
      </c>
      <c r="BH13" s="1" t="str">
        <f t="shared" si="14"/>
        <v/>
      </c>
      <c r="BI13" s="3">
        <f t="shared" si="19"/>
        <v>0</v>
      </c>
      <c r="BJ13" s="3">
        <f t="shared" si="20"/>
        <v>0</v>
      </c>
      <c r="BK13" s="3">
        <f t="shared" si="21"/>
        <v>0</v>
      </c>
      <c r="BM13" s="3">
        <f>_xll.BDP(BD13,"PX_LAST")</f>
        <v>114.64</v>
      </c>
      <c r="BN13" s="57">
        <f>_xll.BDP(BD13,"CHG_PCT_1D")/100</f>
        <v>-2.5284820000000003E-3</v>
      </c>
      <c r="BO13" s="3">
        <f t="shared" si="15"/>
        <v>0</v>
      </c>
      <c r="BP13" s="3">
        <f>EMP4호[[#This Row],[평가금액(원)]]*EMP4호[[#This Row],[등락율]]</f>
        <v>0</v>
      </c>
      <c r="BQ13" s="3">
        <f t="shared" si="17"/>
        <v>0</v>
      </c>
      <c r="BR13" s="7">
        <f t="shared" si="16"/>
        <v>0</v>
      </c>
      <c r="BS13" s="8"/>
      <c r="BT13" s="3">
        <f>_xll.BDP(BD13,"CUR_MKT_CAP")/1000000</f>
        <v>527.343994140625</v>
      </c>
      <c r="BU13" s="3">
        <f>_xll.BDP(BD13, "INTERVAL_AVG", "MARKET_DATA_OVERRIDE=TURNOVER", "PERIODICITY_OVERRIDE=D","CALC_INTERVAL=2M")/1000000</f>
        <v>3.4599371274999995</v>
      </c>
      <c r="BW13" t="s">
        <v>210</v>
      </c>
    </row>
    <row r="14" spans="1:75" x14ac:dyDescent="0.3">
      <c r="A14" s="76"/>
      <c r="B14" s="76"/>
      <c r="C14" s="2" t="s">
        <v>16</v>
      </c>
      <c r="D14" s="1" t="s">
        <v>43</v>
      </c>
      <c r="E14" s="3">
        <v>0</v>
      </c>
      <c r="F14" s="3">
        <f t="shared" si="22"/>
        <v>0</v>
      </c>
      <c r="G14" s="3" t="str">
        <f t="shared" si="8"/>
        <v/>
      </c>
      <c r="H14" s="3">
        <f t="shared" si="9"/>
        <v>0</v>
      </c>
      <c r="I14" s="3">
        <f t="shared" si="10"/>
        <v>0</v>
      </c>
      <c r="J14" s="3">
        <f t="shared" si="23"/>
        <v>0</v>
      </c>
      <c r="K14" s="3"/>
      <c r="L14" s="4">
        <f>_xll.BDP(D14,"PX_LAST")</f>
        <v>136.18</v>
      </c>
      <c r="M14" s="57">
        <f>_xll.BDP(D14,"CHG_PCT_1D")/100</f>
        <v>1.362114E-2</v>
      </c>
      <c r="N14" s="3">
        <f t="shared" si="24"/>
        <v>0</v>
      </c>
      <c r="O14" s="3">
        <f>EMP1호[[#This Row],[평가금액]]*EMP1호[[#This Row],[등락율]]</f>
        <v>0</v>
      </c>
      <c r="P14" s="3">
        <f t="shared" si="11"/>
        <v>0</v>
      </c>
      <c r="Q14" s="9">
        <f t="shared" ref="Q14:Q21" si="32">N14/$E$2</f>
        <v>0</v>
      </c>
      <c r="R14" s="8">
        <v>0</v>
      </c>
      <c r="S14" s="3">
        <f>_xll.BDP(D14,"CUR_MKT_CAP")/1000000</f>
        <v>13195.2568359375</v>
      </c>
      <c r="T14" s="3">
        <f>_xll.BDP(D14, "INTERVAL_AVG", "MARKET_DATA_OVERRIDE=TURNOVER", "PERIODICITY_OVERRIDE=D","CALC_INTERVAL=2M")/1000000</f>
        <v>74.117973249999991</v>
      </c>
      <c r="U14" s="1" t="s">
        <v>76</v>
      </c>
      <c r="W14" s="3">
        <v>0</v>
      </c>
      <c r="X14" s="3">
        <f t="shared" si="25"/>
        <v>0</v>
      </c>
      <c r="Y14" s="3" t="str">
        <f t="shared" si="26"/>
        <v/>
      </c>
      <c r="Z14" s="3">
        <f t="shared" si="27"/>
        <v>0</v>
      </c>
      <c r="AA14" s="3">
        <f t="shared" si="28"/>
        <v>0</v>
      </c>
      <c r="AB14" s="3">
        <f t="shared" si="29"/>
        <v>0</v>
      </c>
      <c r="AC14" s="3"/>
      <c r="AD14" s="4">
        <f>_xll.BDP(U14,"PX_LAST")</f>
        <v>55.62</v>
      </c>
      <c r="AE14" s="57">
        <f>_xll.BDP(U14,"CHG_PCT_1D")/100</f>
        <v>1.533406E-2</v>
      </c>
      <c r="AF14" s="3">
        <f t="shared" si="30"/>
        <v>0</v>
      </c>
      <c r="AG14" s="3">
        <f>EMP2호[[#This Row],[평가금액]]*EMP2호[[#This Row],[등락율]]*$A$5</f>
        <v>0</v>
      </c>
      <c r="AH14" s="3">
        <f t="shared" si="18"/>
        <v>0</v>
      </c>
      <c r="AI14" s="9">
        <f t="shared" si="31"/>
        <v>0</v>
      </c>
      <c r="AJ14" s="8">
        <v>0</v>
      </c>
      <c r="AK14" s="3">
        <f>_xll.BDP(U14,"CUR_MKT_CAP")/1000000</f>
        <v>53517.30859375</v>
      </c>
      <c r="AL14" s="3">
        <f>_xll.BDP(U14, "INTERVAL_AVG", "MARKET_DATA_OVERRIDE=TURNOVER", "PERIODICITY_OVERRIDE=D","CALC_INTERVAL=2M")/1000000</f>
        <v>1933.8806</v>
      </c>
      <c r="AN14" s="3"/>
      <c r="AZ14" s="9"/>
      <c r="BA14" s="68"/>
      <c r="BB14" s="3"/>
      <c r="BC14" s="51"/>
      <c r="BD14" s="1" t="s">
        <v>124</v>
      </c>
      <c r="BF14" s="3">
        <v>0</v>
      </c>
      <c r="BG14" s="3">
        <f t="shared" si="13"/>
        <v>0</v>
      </c>
      <c r="BH14" s="1" t="str">
        <f t="shared" si="14"/>
        <v/>
      </c>
      <c r="BI14" s="3">
        <f t="shared" si="19"/>
        <v>0</v>
      </c>
      <c r="BJ14" s="3">
        <f t="shared" si="20"/>
        <v>0</v>
      </c>
      <c r="BK14" s="3">
        <f t="shared" si="21"/>
        <v>0</v>
      </c>
      <c r="BM14" s="3">
        <f>_xll.BDP(BD14,"PX_LAST")</f>
        <v>131.88999999999999</v>
      </c>
      <c r="BN14" s="57">
        <f>_xll.BDP(BD14,"CHG_PCT_1D")/100</f>
        <v>1.274668E-2</v>
      </c>
      <c r="BO14" s="3">
        <f t="shared" si="15"/>
        <v>0</v>
      </c>
      <c r="BP14" s="3">
        <f>EMP4호[[#This Row],[평가금액(원)]]*EMP4호[[#This Row],[등락율]]</f>
        <v>0</v>
      </c>
      <c r="BQ14" s="3">
        <f t="shared" si="17"/>
        <v>0</v>
      </c>
      <c r="BR14" s="7">
        <f t="shared" si="16"/>
        <v>0</v>
      </c>
      <c r="BS14" s="8"/>
      <c r="BT14" s="3">
        <f>_xll.BDP(BD14,"CUR_MKT_CAP")/1000000</f>
        <v>4068.806396484375</v>
      </c>
      <c r="BU14" s="3">
        <f>_xll.BDP(BD14, "INTERVAL_AVG", "MARKET_DATA_OVERRIDE=TURNOVER", "PERIODICITY_OVERRIDE=D","CALC_INTERVAL=2M")/1000000</f>
        <v>32.412898000000006</v>
      </c>
    </row>
    <row r="15" spans="1:75" x14ac:dyDescent="0.3">
      <c r="A15" s="76"/>
      <c r="B15" s="76"/>
      <c r="C15" s="2" t="s">
        <v>17</v>
      </c>
      <c r="D15" s="1" t="s">
        <v>44</v>
      </c>
      <c r="E15" s="3">
        <v>1910</v>
      </c>
      <c r="F15" s="3">
        <f t="shared" si="22"/>
        <v>1690</v>
      </c>
      <c r="G15" s="3" t="str">
        <f t="shared" si="8"/>
        <v>매도</v>
      </c>
      <c r="H15" s="3">
        <f t="shared" si="9"/>
        <v>-220</v>
      </c>
      <c r="I15" s="3">
        <f t="shared" si="10"/>
        <v>220</v>
      </c>
      <c r="J15" s="3">
        <f t="shared" si="23"/>
        <v>67850.200000000012</v>
      </c>
      <c r="K15" s="3"/>
      <c r="L15" s="4">
        <f>_xll.BDP(D15,"PX_LAST")</f>
        <v>308.41000000000003</v>
      </c>
      <c r="M15" s="57">
        <f>_xll.BDP(D15,"CHG_PCT_1D")/100</f>
        <v>2.5162879999999999E-2</v>
      </c>
      <c r="N15" s="3">
        <f t="shared" si="24"/>
        <v>589063.10000000009</v>
      </c>
      <c r="O15" s="3">
        <f>EMP1호[[#This Row],[평가금액]]*EMP1호[[#This Row],[등락율]]</f>
        <v>14822.524097728001</v>
      </c>
      <c r="P15" s="3">
        <f t="shared" si="11"/>
        <v>520000</v>
      </c>
      <c r="Q15" s="9">
        <f t="shared" si="32"/>
        <v>5.890631000000001E-2</v>
      </c>
      <c r="R15" s="8">
        <v>5.1999999999999998E-2</v>
      </c>
      <c r="S15" s="3">
        <f>_xll.BDP(D15,"CUR_MKT_CAP")/1000000</f>
        <v>18372.220703125</v>
      </c>
      <c r="T15" s="3">
        <f>_xll.BDP(D15, "INTERVAL_AVG", "MARKET_DATA_OVERRIDE=TURNOVER", "PERIODICITY_OVERRIDE=D","CALC_INTERVAL=2M")/1000000</f>
        <v>75.125969749999996</v>
      </c>
      <c r="U15" s="1" t="s">
        <v>77</v>
      </c>
      <c r="W15" s="3">
        <v>0</v>
      </c>
      <c r="X15" s="3">
        <f t="shared" si="25"/>
        <v>0</v>
      </c>
      <c r="Y15" s="3" t="str">
        <f t="shared" si="26"/>
        <v/>
      </c>
      <c r="Z15" s="3">
        <f t="shared" si="27"/>
        <v>0</v>
      </c>
      <c r="AA15" s="3">
        <f t="shared" si="28"/>
        <v>0</v>
      </c>
      <c r="AB15" s="3">
        <f t="shared" si="29"/>
        <v>0</v>
      </c>
      <c r="AC15" s="3"/>
      <c r="AD15" s="4">
        <f>_xll.BDP(U15,"PX_LAST")</f>
        <v>163.74</v>
      </c>
      <c r="AE15" s="57">
        <f>_xll.BDP(U15,"CHG_PCT_1D")/100</f>
        <v>2.6325690000000002E-2</v>
      </c>
      <c r="AF15" s="3">
        <f t="shared" si="30"/>
        <v>0</v>
      </c>
      <c r="AG15" s="3">
        <f>EMP2호[[#This Row],[평가금액]]*EMP2호[[#This Row],[등락율]]*$A$5</f>
        <v>0</v>
      </c>
      <c r="AH15" s="3">
        <f t="shared" si="18"/>
        <v>0</v>
      </c>
      <c r="AI15" s="9">
        <f t="shared" si="31"/>
        <v>0</v>
      </c>
      <c r="AJ15" s="8"/>
      <c r="AK15" s="3">
        <f>_xll.BDP(U15,"CUR_MKT_CAP")/1000000</f>
        <v>42419.359375</v>
      </c>
      <c r="AL15" s="3">
        <f>_xll.BDP(U15, "INTERVAL_AVG", "MARKET_DATA_OVERRIDE=TURNOVER", "PERIODICITY_OVERRIDE=D","CALC_INTERVAL=2M")/1000000</f>
        <v>1657.5321824999999</v>
      </c>
      <c r="AN15" s="3"/>
      <c r="AZ15" s="9"/>
      <c r="BA15" s="68"/>
      <c r="BB15" s="3"/>
      <c r="BC15" s="51"/>
      <c r="BD15" s="1" t="s">
        <v>126</v>
      </c>
      <c r="BF15" s="3">
        <v>0</v>
      </c>
      <c r="BG15" s="3">
        <f t="shared" si="13"/>
        <v>0</v>
      </c>
      <c r="BH15" s="1" t="str">
        <f t="shared" si="14"/>
        <v/>
      </c>
      <c r="BI15" s="3">
        <f t="shared" si="19"/>
        <v>0</v>
      </c>
      <c r="BJ15" s="3">
        <f t="shared" si="20"/>
        <v>0</v>
      </c>
      <c r="BK15" s="3">
        <f t="shared" si="21"/>
        <v>0</v>
      </c>
      <c r="BM15" s="3">
        <f>_xll.BDP(BD15,"PX_LAST")</f>
        <v>69.209999999999994</v>
      </c>
      <c r="BN15" s="57">
        <f>_xll.BDP(BD15,"CHG_PCT_1D")/100</f>
        <v>2.6245549999999999E-2</v>
      </c>
      <c r="BO15" s="3">
        <f t="shared" si="15"/>
        <v>0</v>
      </c>
      <c r="BP15" s="3">
        <f>EMP4호[[#This Row],[평가금액(원)]]*EMP4호[[#This Row],[등락율]]</f>
        <v>0</v>
      </c>
      <c r="BQ15" s="3">
        <f t="shared" si="17"/>
        <v>0</v>
      </c>
      <c r="BR15" s="7">
        <f t="shared" si="16"/>
        <v>0</v>
      </c>
      <c r="BS15" s="8"/>
      <c r="BT15" s="3">
        <f>_xll.BDP(BD15,"CUR_MKT_CAP")/1000000</f>
        <v>3266.7119140625</v>
      </c>
      <c r="BU15" s="3">
        <f>_xll.BDP(BD15, "INTERVAL_AVG", "MARKET_DATA_OVERRIDE=TURNOVER", "PERIODICITY_OVERRIDE=D","CALC_INTERVAL=2M")/1000000</f>
        <v>57.066154249999997</v>
      </c>
    </row>
    <row r="16" spans="1:75" x14ac:dyDescent="0.3">
      <c r="A16" s="76"/>
      <c r="B16" s="76"/>
      <c r="C16" s="2" t="s">
        <v>18</v>
      </c>
      <c r="D16" s="1" t="s">
        <v>45</v>
      </c>
      <c r="E16" s="3">
        <v>0</v>
      </c>
      <c r="F16" s="3">
        <f t="shared" si="22"/>
        <v>0</v>
      </c>
      <c r="G16" s="3" t="str">
        <f t="shared" si="8"/>
        <v/>
      </c>
      <c r="H16" s="3">
        <f t="shared" si="9"/>
        <v>0</v>
      </c>
      <c r="I16" s="3">
        <f t="shared" si="10"/>
        <v>0</v>
      </c>
      <c r="J16" s="3">
        <f t="shared" si="23"/>
        <v>0</v>
      </c>
      <c r="K16" s="3"/>
      <c r="L16" s="4">
        <f>_xll.BDP(D16,"PX_LAST")</f>
        <v>395.55</v>
      </c>
      <c r="M16" s="57">
        <f>_xll.BDP(D16,"CHG_PCT_1D")/100</f>
        <v>-7.8011339999999995E-3</v>
      </c>
      <c r="N16" s="3">
        <f t="shared" si="24"/>
        <v>0</v>
      </c>
      <c r="O16" s="3">
        <f>EMP1호[[#This Row],[평가금액]]*EMP1호[[#This Row],[등락율]]</f>
        <v>0</v>
      </c>
      <c r="P16" s="3">
        <f t="shared" si="11"/>
        <v>0</v>
      </c>
      <c r="Q16" s="9">
        <f t="shared" si="32"/>
        <v>0</v>
      </c>
      <c r="R16" s="8">
        <v>0</v>
      </c>
      <c r="S16" s="3">
        <f>_xll.BDP(D16,"CUR_MKT_CAP")/1000000</f>
        <v>6197.404296875</v>
      </c>
      <c r="T16" s="3">
        <f>_xll.BDP(D16, "INTERVAL_AVG", "MARKET_DATA_OVERRIDE=TURNOVER", "PERIODICITY_OVERRIDE=D","CALC_INTERVAL=2M")/1000000</f>
        <v>22.824698499999997</v>
      </c>
      <c r="U16" s="1" t="s">
        <v>78</v>
      </c>
      <c r="W16" s="3">
        <v>0</v>
      </c>
      <c r="X16" s="3">
        <f t="shared" si="25"/>
        <v>0</v>
      </c>
      <c r="Y16" s="3" t="str">
        <f t="shared" si="26"/>
        <v/>
      </c>
      <c r="Z16" s="3">
        <f t="shared" si="27"/>
        <v>0</v>
      </c>
      <c r="AA16" s="3">
        <f t="shared" si="28"/>
        <v>0</v>
      </c>
      <c r="AB16" s="3">
        <f t="shared" si="29"/>
        <v>0</v>
      </c>
      <c r="AC16" s="3"/>
      <c r="AD16" s="4">
        <f>_xll.BDP(U16,"PX_LAST")</f>
        <v>117.12</v>
      </c>
      <c r="AE16" s="57">
        <f>_xll.BDP(U16,"CHG_PCT_1D")/100</f>
        <v>-8.214074E-3</v>
      </c>
      <c r="AF16" s="3">
        <f t="shared" si="30"/>
        <v>0</v>
      </c>
      <c r="AG16" s="3">
        <f>EMP2호[[#This Row],[평가금액]]*EMP2호[[#This Row],[등락율]]*$A$5</f>
        <v>0</v>
      </c>
      <c r="AH16" s="3">
        <f t="shared" si="18"/>
        <v>0</v>
      </c>
      <c r="AI16" s="9">
        <f t="shared" si="31"/>
        <v>0</v>
      </c>
      <c r="AJ16" s="8">
        <v>0</v>
      </c>
      <c r="AK16" s="3">
        <f>_xll.BDP(U16,"CUR_MKT_CAP")/1000000</f>
        <v>22440.955078125</v>
      </c>
      <c r="AL16" s="3">
        <f>_xll.BDP(U16, "INTERVAL_AVG", "MARKET_DATA_OVERRIDE=TURNOVER", "PERIODICITY_OVERRIDE=D","CALC_INTERVAL=2M")/1000000</f>
        <v>934.62170250000008</v>
      </c>
      <c r="AN16" s="3"/>
      <c r="AZ16" s="9"/>
      <c r="BA16" s="68"/>
      <c r="BB16" s="3"/>
      <c r="BC16" s="51"/>
      <c r="BD16" s="1" t="s">
        <v>125</v>
      </c>
      <c r="BF16" s="3">
        <v>0</v>
      </c>
      <c r="BG16" s="3">
        <f t="shared" si="13"/>
        <v>0</v>
      </c>
      <c r="BH16" s="1" t="str">
        <f t="shared" si="14"/>
        <v/>
      </c>
      <c r="BI16" s="3">
        <f t="shared" si="19"/>
        <v>0</v>
      </c>
      <c r="BJ16" s="3">
        <f t="shared" si="20"/>
        <v>0</v>
      </c>
      <c r="BK16" s="3">
        <f t="shared" si="21"/>
        <v>0</v>
      </c>
      <c r="BM16" s="3">
        <f>_xll.BDP(BD16,"PX_LAST")</f>
        <v>102.07</v>
      </c>
      <c r="BN16" s="57">
        <f>_xll.BDP(BD16,"CHG_PCT_1D")/100</f>
        <v>5.6157639999999997E-3</v>
      </c>
      <c r="BO16" s="3">
        <f t="shared" si="15"/>
        <v>0</v>
      </c>
      <c r="BP16" s="3">
        <f>EMP4호[[#This Row],[평가금액(원)]]*EMP4호[[#This Row],[등락율]]</f>
        <v>0</v>
      </c>
      <c r="BQ16" s="3">
        <f t="shared" si="17"/>
        <v>0</v>
      </c>
      <c r="BR16" s="7">
        <f t="shared" si="16"/>
        <v>0</v>
      </c>
      <c r="BS16" s="8"/>
      <c r="BT16" s="3">
        <f>_xll.BDP(BD16,"CUR_MKT_CAP")/1000000</f>
        <v>1173.8050537109375</v>
      </c>
      <c r="BU16" s="3">
        <f>_xll.BDP(BD16, "INTERVAL_AVG", "MARKET_DATA_OVERRIDE=TURNOVER", "PERIODICITY_OVERRIDE=D","CALC_INTERVAL=2M")/1000000</f>
        <v>12.941891224999997</v>
      </c>
    </row>
    <row r="17" spans="1:75" x14ac:dyDescent="0.3">
      <c r="A17" s="76"/>
      <c r="B17" s="76"/>
      <c r="C17" s="2" t="s">
        <v>19</v>
      </c>
      <c r="D17" s="1" t="s">
        <v>46</v>
      </c>
      <c r="E17" s="3">
        <v>1690</v>
      </c>
      <c r="F17" s="3">
        <f t="shared" si="22"/>
        <v>1690</v>
      </c>
      <c r="G17" s="3" t="str">
        <f t="shared" si="8"/>
        <v/>
      </c>
      <c r="H17" s="3">
        <f t="shared" si="9"/>
        <v>0</v>
      </c>
      <c r="I17" s="3">
        <f t="shared" si="10"/>
        <v>0</v>
      </c>
      <c r="J17" s="3">
        <f t="shared" si="23"/>
        <v>0</v>
      </c>
      <c r="K17" s="3"/>
      <c r="L17" s="4">
        <f>_xll.BDP(D17,"PX_LAST")</f>
        <v>230.45</v>
      </c>
      <c r="M17" s="57">
        <f>_xll.BDP(D17,"CHG_PCT_1D")/100</f>
        <v>1.9915909999999998E-2</v>
      </c>
      <c r="N17" s="3">
        <f t="shared" si="24"/>
        <v>389460.5</v>
      </c>
      <c r="O17" s="3">
        <f>EMP1호[[#This Row],[평가금액]]*EMP1호[[#This Row],[등락율]]</f>
        <v>7756.4602665549992</v>
      </c>
      <c r="P17" s="3">
        <f t="shared" si="11"/>
        <v>390000</v>
      </c>
      <c r="Q17" s="9">
        <f t="shared" si="32"/>
        <v>3.8946050000000003E-2</v>
      </c>
      <c r="R17" s="8">
        <v>3.9E-2</v>
      </c>
      <c r="S17" s="3">
        <f>_xll.BDP(D17,"CUR_MKT_CAP")/1000000</f>
        <v>7914.572265625</v>
      </c>
      <c r="T17" s="3">
        <f>_xll.BDP(D17, "INTERVAL_AVG", "MARKET_DATA_OVERRIDE=TURNOVER", "PERIODICITY_OVERRIDE=D","CALC_INTERVAL=2M")/1000000</f>
        <v>40.202800499999995</v>
      </c>
      <c r="U17" s="1" t="s">
        <v>79</v>
      </c>
      <c r="W17" s="3">
        <v>0</v>
      </c>
      <c r="X17" s="3">
        <f t="shared" si="25"/>
        <v>0</v>
      </c>
      <c r="Y17" s="3" t="str">
        <f t="shared" si="26"/>
        <v/>
      </c>
      <c r="Z17" s="3">
        <f t="shared" si="27"/>
        <v>0</v>
      </c>
      <c r="AA17" s="3">
        <f t="shared" si="28"/>
        <v>0</v>
      </c>
      <c r="AB17" s="3">
        <f t="shared" si="29"/>
        <v>0</v>
      </c>
      <c r="AC17" s="3"/>
      <c r="AD17" s="4">
        <f>_xll.BDP(U17,"PX_LAST")</f>
        <v>84.99</v>
      </c>
      <c r="AE17" s="57">
        <f>_xll.BDP(U17,"CHG_PCT_1D")/100</f>
        <v>2.028812E-2</v>
      </c>
      <c r="AF17" s="3">
        <f t="shared" si="30"/>
        <v>0</v>
      </c>
      <c r="AG17" s="3">
        <f>EMP2호[[#This Row],[평가금액]]*EMP2호[[#This Row],[등락율]]*$A$5</f>
        <v>0</v>
      </c>
      <c r="AH17" s="3">
        <f t="shared" si="18"/>
        <v>0</v>
      </c>
      <c r="AI17" s="9">
        <f t="shared" si="31"/>
        <v>0</v>
      </c>
      <c r="AJ17" s="8"/>
      <c r="AK17" s="3">
        <f>_xll.BDP(U17,"CUR_MKT_CAP")/1000000</f>
        <v>14518.1455078125</v>
      </c>
      <c r="AL17" s="3">
        <f>_xll.BDP(U17, "INTERVAL_AVG", "MARKET_DATA_OVERRIDE=TURNOVER", "PERIODICITY_OVERRIDE=D","CALC_INTERVAL=2M")/1000000</f>
        <v>1035.5272325000001</v>
      </c>
      <c r="AN17" s="3"/>
      <c r="AZ17" s="9"/>
      <c r="BA17" s="68"/>
      <c r="BB17" s="3"/>
      <c r="BC17" s="51"/>
      <c r="BD17" s="1" t="s">
        <v>127</v>
      </c>
      <c r="BF17" s="3">
        <v>0</v>
      </c>
      <c r="BG17" s="3">
        <f t="shared" si="13"/>
        <v>0</v>
      </c>
      <c r="BH17" s="1" t="str">
        <f t="shared" si="14"/>
        <v/>
      </c>
      <c r="BI17" s="3">
        <f t="shared" si="19"/>
        <v>0</v>
      </c>
      <c r="BJ17" s="3">
        <f t="shared" si="20"/>
        <v>0</v>
      </c>
      <c r="BK17" s="3">
        <f t="shared" si="21"/>
        <v>0</v>
      </c>
      <c r="BM17" s="3">
        <f>_xll.BDP(BD17,"PX_LAST")</f>
        <v>74.81</v>
      </c>
      <c r="BN17" s="57">
        <f>_xll.BDP(BD17,"CHG_PCT_1D")/100</f>
        <v>2.0739529999999999E-2</v>
      </c>
      <c r="BO17" s="3">
        <f t="shared" si="15"/>
        <v>0</v>
      </c>
      <c r="BP17" s="3">
        <f>EMP4호[[#This Row],[평가금액(원)]]*EMP4호[[#This Row],[등락율]]</f>
        <v>0</v>
      </c>
      <c r="BQ17" s="3">
        <f t="shared" si="17"/>
        <v>0</v>
      </c>
      <c r="BR17" s="7">
        <f t="shared" si="16"/>
        <v>0</v>
      </c>
      <c r="BS17" s="8"/>
      <c r="BT17" s="3">
        <f>_xll.BDP(BD17,"CUR_MKT_CAP")/1000000</f>
        <v>1387.7254638671875</v>
      </c>
      <c r="BU17" s="3">
        <f>_xll.BDP(BD17, "INTERVAL_AVG", "MARKET_DATA_OVERRIDE=TURNOVER", "PERIODICITY_OVERRIDE=D","CALC_INTERVAL=2M")/1000000</f>
        <v>24.904196825</v>
      </c>
    </row>
    <row r="18" spans="1:75" x14ac:dyDescent="0.3">
      <c r="A18" s="76"/>
      <c r="B18" s="76"/>
      <c r="C18" s="2" t="s">
        <v>20</v>
      </c>
      <c r="D18" s="1" t="s">
        <v>47</v>
      </c>
      <c r="E18" s="3"/>
      <c r="F18" s="3">
        <f t="shared" si="22"/>
        <v>0</v>
      </c>
      <c r="G18" s="3" t="str">
        <f t="shared" si="8"/>
        <v/>
      </c>
      <c r="H18" s="3">
        <f t="shared" si="9"/>
        <v>0</v>
      </c>
      <c r="I18" s="3">
        <f t="shared" si="10"/>
        <v>0</v>
      </c>
      <c r="J18" s="3">
        <f t="shared" si="23"/>
        <v>0</v>
      </c>
      <c r="K18" s="3" t="s">
        <v>272</v>
      </c>
      <c r="L18" s="4">
        <f>_xll.BDP(D18,"PX_LAST")</f>
        <v>232.63499999999999</v>
      </c>
      <c r="M18" s="57">
        <f>_xll.BDP(D18,"CHG_PCT_1D")/100</f>
        <v>1.7739959999999999E-2</v>
      </c>
      <c r="N18" s="3">
        <f t="shared" si="24"/>
        <v>0</v>
      </c>
      <c r="O18" s="3">
        <f>EMP1호[[#This Row],[평가금액]]*EMP1호[[#This Row],[등락율]]</f>
        <v>0</v>
      </c>
      <c r="P18" s="3">
        <f t="shared" si="11"/>
        <v>0</v>
      </c>
      <c r="Q18" s="9">
        <f t="shared" si="32"/>
        <v>0</v>
      </c>
      <c r="R18" s="8">
        <v>0</v>
      </c>
      <c r="S18" s="3">
        <f>_xll.BDP(D18,"CUR_MKT_CAP")/1000000</f>
        <v>3073.965087890625</v>
      </c>
      <c r="T18" s="3">
        <f>_xll.BDP(D18, "INTERVAL_AVG", "MARKET_DATA_OVERRIDE=TURNOVER", "PERIODICITY_OVERRIDE=D","CALC_INTERVAL=2M")/1000000</f>
        <v>13.652859350000002</v>
      </c>
      <c r="U18" s="1" t="s">
        <v>80</v>
      </c>
      <c r="W18" s="3">
        <v>0</v>
      </c>
      <c r="X18" s="3">
        <f t="shared" si="25"/>
        <v>0</v>
      </c>
      <c r="Y18" s="3" t="str">
        <f t="shared" si="26"/>
        <v/>
      </c>
      <c r="Z18" s="3">
        <f t="shared" si="27"/>
        <v>0</v>
      </c>
      <c r="AA18" s="3">
        <f t="shared" si="28"/>
        <v>0</v>
      </c>
      <c r="AB18" s="3">
        <f t="shared" si="29"/>
        <v>0</v>
      </c>
      <c r="AC18" s="3"/>
      <c r="AD18" s="4">
        <f>_xll.BDP(U18,"PX_LAST")</f>
        <v>52.01</v>
      </c>
      <c r="AE18" s="57">
        <f>_xll.BDP(U18,"CHG_PCT_1D")/100</f>
        <v>1.940416E-2</v>
      </c>
      <c r="AF18" s="3">
        <f t="shared" si="30"/>
        <v>0</v>
      </c>
      <c r="AG18" s="3">
        <f>EMP2호[[#This Row],[평가금액]]*EMP2호[[#This Row],[등락율]]*$A$5</f>
        <v>0</v>
      </c>
      <c r="AH18" s="3">
        <f t="shared" si="18"/>
        <v>0</v>
      </c>
      <c r="AI18" s="9">
        <f t="shared" si="31"/>
        <v>0</v>
      </c>
      <c r="AJ18" s="8"/>
      <c r="AK18" s="3">
        <f>_xll.BDP(U18,"CUR_MKT_CAP")/1000000</f>
        <v>8204.4443359375</v>
      </c>
      <c r="AL18" s="3">
        <f>_xll.BDP(U18, "INTERVAL_AVG", "MARKET_DATA_OVERRIDE=TURNOVER", "PERIODICITY_OVERRIDE=D","CALC_INTERVAL=2M")/1000000</f>
        <v>604.32857500000023</v>
      </c>
      <c r="AN18" s="3"/>
      <c r="AZ18" s="9"/>
      <c r="BA18" s="68"/>
      <c r="BB18" s="3"/>
      <c r="BC18" s="51"/>
      <c r="BD18" s="1" t="s">
        <v>128</v>
      </c>
      <c r="BF18" s="3">
        <v>2980</v>
      </c>
      <c r="BG18" s="3">
        <f t="shared" si="13"/>
        <v>0</v>
      </c>
      <c r="BH18" s="1" t="str">
        <f t="shared" si="14"/>
        <v>매도</v>
      </c>
      <c r="BI18" s="3">
        <f t="shared" si="19"/>
        <v>-2980</v>
      </c>
      <c r="BJ18" s="3">
        <f t="shared" si="20"/>
        <v>2980</v>
      </c>
      <c r="BK18" s="3">
        <f t="shared" si="21"/>
        <v>821429833.10000002</v>
      </c>
      <c r="BM18" s="3">
        <f>_xll.BDP(BD18,"PX_LAST")</f>
        <v>182.15</v>
      </c>
      <c r="BN18" s="57">
        <f>_xll.BDP(BD18,"CHG_PCT_1D")/100</f>
        <v>1.6348620000000001E-2</v>
      </c>
      <c r="BO18" s="3">
        <f t="shared" si="15"/>
        <v>821429833.10000002</v>
      </c>
      <c r="BP18" s="3">
        <f>EMP4호[[#This Row],[평가금액(원)]]*EMP4호[[#This Row],[등락율]]</f>
        <v>13429244.198015323</v>
      </c>
      <c r="BQ18" s="3">
        <f t="shared" si="17"/>
        <v>0</v>
      </c>
      <c r="BR18" s="7">
        <f t="shared" si="16"/>
        <v>4.1071491655E-2</v>
      </c>
      <c r="BS18" s="8"/>
      <c r="BT18" s="3">
        <f>_xll.BDP(BD18,"CUR_MKT_CAP")/1000000</f>
        <v>1311.47998046875</v>
      </c>
      <c r="BU18" s="3">
        <f>_xll.BDP(BD18, "INTERVAL_AVG", "MARKET_DATA_OVERRIDE=TURNOVER", "PERIODICITY_OVERRIDE=D","CALC_INTERVAL=2M")/1000000</f>
        <v>49.078175199999997</v>
      </c>
    </row>
    <row r="19" spans="1:75" x14ac:dyDescent="0.3">
      <c r="A19" s="76"/>
      <c r="B19" s="76"/>
      <c r="C19" s="2" t="s">
        <v>21</v>
      </c>
      <c r="D19" s="1" t="s">
        <v>48</v>
      </c>
      <c r="E19" s="3"/>
      <c r="F19" s="3">
        <f t="shared" si="22"/>
        <v>0</v>
      </c>
      <c r="G19" s="3" t="str">
        <f t="shared" si="8"/>
        <v/>
      </c>
      <c r="H19" s="3">
        <f t="shared" si="9"/>
        <v>0</v>
      </c>
      <c r="I19" s="3">
        <f t="shared" si="10"/>
        <v>0</v>
      </c>
      <c r="J19" s="3">
        <f t="shared" si="23"/>
        <v>0</v>
      </c>
      <c r="K19" s="3" t="s">
        <v>272</v>
      </c>
      <c r="L19" s="4">
        <f>_xll.BDP(D19,"PX_LAST")</f>
        <v>355.13</v>
      </c>
      <c r="M19" s="57">
        <f>_xll.BDP(D19,"CHG_PCT_1D")/100</f>
        <v>-2.387775E-3</v>
      </c>
      <c r="N19" s="3">
        <f t="shared" si="24"/>
        <v>0</v>
      </c>
      <c r="O19" s="3">
        <f>EMP1호[[#This Row],[평가금액]]*EMP1호[[#This Row],[등락율]]</f>
        <v>0</v>
      </c>
      <c r="P19" s="3">
        <f t="shared" si="11"/>
        <v>0</v>
      </c>
      <c r="Q19" s="9">
        <f t="shared" si="32"/>
        <v>0</v>
      </c>
      <c r="R19" s="8">
        <v>0</v>
      </c>
      <c r="S19" s="3">
        <f>_xll.BDP(D19,"CUR_MKT_CAP")/1000000</f>
        <v>8414.46875</v>
      </c>
      <c r="T19" s="3">
        <f>_xll.BDP(D19, "INTERVAL_AVG", "MARKET_DATA_OVERRIDE=TURNOVER", "PERIODICITY_OVERRIDE=D","CALC_INTERVAL=2M")/1000000</f>
        <v>32.805375999999995</v>
      </c>
      <c r="U19" s="1" t="s">
        <v>81</v>
      </c>
      <c r="W19" s="3">
        <v>1820</v>
      </c>
      <c r="X19" s="3">
        <f t="shared" si="25"/>
        <v>1710</v>
      </c>
      <c r="Y19" s="3" t="str">
        <f t="shared" si="26"/>
        <v>매도</v>
      </c>
      <c r="Z19" s="3">
        <f t="shared" si="27"/>
        <v>-110</v>
      </c>
      <c r="AA19" s="3">
        <f t="shared" si="28"/>
        <v>110</v>
      </c>
      <c r="AB19" s="3">
        <f t="shared" si="29"/>
        <v>20230.099999999999</v>
      </c>
      <c r="AC19" s="3"/>
      <c r="AD19" s="4">
        <f>_xll.BDP(U19,"PX_LAST")</f>
        <v>183.91</v>
      </c>
      <c r="AE19" s="57">
        <f>_xll.BDP(U19,"CHG_PCT_1D")/100</f>
        <v>2.9995640000000001E-3</v>
      </c>
      <c r="AF19" s="3">
        <f t="shared" si="30"/>
        <v>334716.2</v>
      </c>
      <c r="AG19" s="3">
        <f>EMP2호[[#This Row],[평가금액]]*EMP2호[[#This Row],[등락율]]*$A$5</f>
        <v>1519357.2310328996</v>
      </c>
      <c r="AH19" s="3">
        <f t="shared" si="18"/>
        <v>315000</v>
      </c>
      <c r="AI19" s="9">
        <f t="shared" si="31"/>
        <v>2.2314413333333335E-2</v>
      </c>
      <c r="AJ19" s="8">
        <v>2.1000000000000001E-2</v>
      </c>
      <c r="AK19" s="3">
        <f>_xll.BDP(U19,"CUR_MKT_CAP")/1000000</f>
        <v>34166.06640625</v>
      </c>
      <c r="AL19" s="3">
        <f>_xll.BDP(U19, "INTERVAL_AVG", "MARKET_DATA_OVERRIDE=TURNOVER", "PERIODICITY_OVERRIDE=D","CALC_INTERVAL=2M")/1000000</f>
        <v>1426.0807150000001</v>
      </c>
      <c r="AN19" s="3"/>
      <c r="AZ19" s="9"/>
      <c r="BA19" s="68"/>
      <c r="BB19" s="3"/>
      <c r="BC19" s="51"/>
      <c r="BD19" s="1" t="s">
        <v>129</v>
      </c>
      <c r="BF19" s="3">
        <v>0</v>
      </c>
      <c r="BG19" s="3">
        <f t="shared" si="13"/>
        <v>0</v>
      </c>
      <c r="BH19" s="1" t="str">
        <f t="shared" si="14"/>
        <v/>
      </c>
      <c r="BI19" s="3">
        <f t="shared" si="19"/>
        <v>0</v>
      </c>
      <c r="BJ19" s="3">
        <f t="shared" si="20"/>
        <v>0</v>
      </c>
      <c r="BK19" s="3">
        <f t="shared" si="21"/>
        <v>0</v>
      </c>
      <c r="BM19" s="3">
        <f>_xll.BDP(BD19,"PX_LAST")</f>
        <v>166.54</v>
      </c>
      <c r="BN19" s="57">
        <f>_xll.BDP(BD19,"CHG_PCT_1D")/100</f>
        <v>5.1300619999999995E-3</v>
      </c>
      <c r="BO19" s="3">
        <f t="shared" si="15"/>
        <v>0</v>
      </c>
      <c r="BP19" s="3">
        <f>EMP4호[[#This Row],[평가금액(원)]]*EMP4호[[#This Row],[등락율]]</f>
        <v>0</v>
      </c>
      <c r="BQ19" s="3">
        <f t="shared" si="17"/>
        <v>0</v>
      </c>
      <c r="BR19" s="7">
        <f t="shared" si="16"/>
        <v>0</v>
      </c>
      <c r="BS19" s="8"/>
      <c r="BT19" s="3">
        <f>_xll.BDP(BD19,"CUR_MKT_CAP")/1000000</f>
        <v>2015.1339111328125</v>
      </c>
      <c r="BU19" s="3">
        <f>_xll.BDP(BD19, "INTERVAL_AVG", "MARKET_DATA_OVERRIDE=TURNOVER", "PERIODICITY_OVERRIDE=D","CALC_INTERVAL=2M")/1000000</f>
        <v>15.624024700000003</v>
      </c>
    </row>
    <row r="20" spans="1:75" x14ac:dyDescent="0.3">
      <c r="A20" s="76"/>
      <c r="B20" s="76"/>
      <c r="C20" s="2" t="s">
        <v>22</v>
      </c>
      <c r="D20" s="1" t="s">
        <v>49</v>
      </c>
      <c r="E20" s="3">
        <v>1940</v>
      </c>
      <c r="F20" s="3">
        <f t="shared" si="22"/>
        <v>1970</v>
      </c>
      <c r="G20" s="3" t="str">
        <f t="shared" si="8"/>
        <v>매수</v>
      </c>
      <c r="H20" s="3">
        <f t="shared" si="9"/>
        <v>30</v>
      </c>
      <c r="I20" s="3">
        <f t="shared" si="10"/>
        <v>30</v>
      </c>
      <c r="J20" s="3">
        <f t="shared" si="23"/>
        <v>5926.2</v>
      </c>
      <c r="K20" s="3"/>
      <c r="L20" s="4">
        <f>_xll.BDP(D20,"PX_LAST")</f>
        <v>197.54</v>
      </c>
      <c r="M20" s="57">
        <f>_xll.BDP(D20,"CHG_PCT_1D")/100</f>
        <v>2.1512050000000001E-2</v>
      </c>
      <c r="N20" s="3">
        <f t="shared" si="24"/>
        <v>383227.6</v>
      </c>
      <c r="O20" s="3">
        <f>EMP1호[[#This Row],[평가금액]]*EMP1호[[#This Row],[등락율]]</f>
        <v>8244.0112925800004</v>
      </c>
      <c r="P20" s="3">
        <f t="shared" si="11"/>
        <v>390000</v>
      </c>
      <c r="Q20" s="9">
        <f t="shared" si="32"/>
        <v>3.8322759999999997E-2</v>
      </c>
      <c r="R20" s="8">
        <v>3.9E-2</v>
      </c>
      <c r="S20" s="3">
        <f>_xll.BDP(D20,"CUR_MKT_CAP")/1000000</f>
        <v>8748.1015625</v>
      </c>
      <c r="T20" s="3">
        <f>_xll.BDP(D20, "INTERVAL_AVG", "MARKET_DATA_OVERRIDE=TURNOVER", "PERIODICITY_OVERRIDE=D","CALC_INTERVAL=2M")/1000000</f>
        <v>44.713556250000003</v>
      </c>
      <c r="U20" s="1" t="s">
        <v>82</v>
      </c>
      <c r="W20" s="3">
        <v>0</v>
      </c>
      <c r="X20" s="3">
        <f t="shared" si="25"/>
        <v>0</v>
      </c>
      <c r="Y20" s="3" t="str">
        <f t="shared" si="26"/>
        <v/>
      </c>
      <c r="Z20" s="3">
        <f t="shared" si="27"/>
        <v>0</v>
      </c>
      <c r="AA20" s="3">
        <f t="shared" si="28"/>
        <v>0</v>
      </c>
      <c r="AB20" s="3">
        <f t="shared" si="29"/>
        <v>0</v>
      </c>
      <c r="AC20" s="3"/>
      <c r="AD20" s="4">
        <f>_xll.BDP(U20,"PX_LAST")</f>
        <v>45.76</v>
      </c>
      <c r="AE20" s="57">
        <f>_xll.BDP(U20,"CHG_PCT_1D")/100</f>
        <v>2.2113019999999997E-2</v>
      </c>
      <c r="AF20" s="3">
        <f t="shared" si="30"/>
        <v>0</v>
      </c>
      <c r="AG20" s="3">
        <f>EMP2호[[#This Row],[평가금액]]*EMP2호[[#This Row],[등락율]]*$A$5</f>
        <v>0</v>
      </c>
      <c r="AH20" s="3">
        <f t="shared" si="18"/>
        <v>0</v>
      </c>
      <c r="AI20" s="9">
        <f t="shared" si="31"/>
        <v>0</v>
      </c>
      <c r="AJ20" s="8"/>
      <c r="AK20" s="3">
        <f>_xll.BDP(U20,"CUR_MKT_CAP")/1000000</f>
        <v>23719.619140625</v>
      </c>
      <c r="AL20" s="3">
        <f>_xll.BDP(U20, "INTERVAL_AVG", "MARKET_DATA_OVERRIDE=TURNOVER", "PERIODICITY_OVERRIDE=D","CALC_INTERVAL=2M")/1000000</f>
        <v>969.85119000000009</v>
      </c>
      <c r="AN20" s="3"/>
      <c r="AZ20" s="9"/>
      <c r="BA20" s="68"/>
      <c r="BB20" s="3"/>
      <c r="BC20" s="51"/>
      <c r="BD20" s="1" t="s">
        <v>130</v>
      </c>
      <c r="BF20" s="3">
        <v>2380</v>
      </c>
      <c r="BG20" s="3">
        <f t="shared" si="13"/>
        <v>0</v>
      </c>
      <c r="BH20" s="1" t="str">
        <f t="shared" si="14"/>
        <v>매도</v>
      </c>
      <c r="BI20" s="3">
        <f t="shared" si="19"/>
        <v>-2380</v>
      </c>
      <c r="BJ20" s="3">
        <f t="shared" si="20"/>
        <v>2380</v>
      </c>
      <c r="BK20" s="3">
        <f t="shared" si="21"/>
        <v>416891450.5</v>
      </c>
      <c r="BM20" s="3">
        <f>_xll.BDP(BD20,"PX_LAST")</f>
        <v>115.75</v>
      </c>
      <c r="BN20" s="57">
        <f>_xll.BDP(BD20,"CHG_PCT_1D")/100</f>
        <v>2.153385E-2</v>
      </c>
      <c r="BO20" s="3">
        <f t="shared" si="15"/>
        <v>416891450.5</v>
      </c>
      <c r="BP20" s="3">
        <f>EMP4호[[#This Row],[평가금액(원)]]*EMP4호[[#This Row],[등락율]]</f>
        <v>8977277.9613494258</v>
      </c>
      <c r="BQ20" s="3">
        <f t="shared" si="17"/>
        <v>0</v>
      </c>
      <c r="BR20" s="7">
        <f t="shared" si="16"/>
        <v>2.0844572525000001E-2</v>
      </c>
      <c r="BS20" s="8"/>
      <c r="BT20" s="3">
        <f>_xll.BDP(BD20,"CUR_MKT_CAP")/1000000</f>
        <v>1394.7874755859375</v>
      </c>
      <c r="BU20" s="3">
        <f>_xll.BDP(BD20, "INTERVAL_AVG", "MARKET_DATA_OVERRIDE=TURNOVER", "PERIODICITY_OVERRIDE=D","CALC_INTERVAL=2M")/1000000</f>
        <v>16.567533375000004</v>
      </c>
    </row>
    <row r="21" spans="1:75" x14ac:dyDescent="0.3">
      <c r="A21" s="76"/>
      <c r="B21" s="76"/>
      <c r="C21" s="2" t="s">
        <v>23</v>
      </c>
      <c r="D21" s="1" t="s">
        <v>50</v>
      </c>
      <c r="E21" s="3">
        <v>0</v>
      </c>
      <c r="F21" s="3">
        <f t="shared" si="22"/>
        <v>0</v>
      </c>
      <c r="G21" s="3" t="str">
        <f t="shared" si="8"/>
        <v/>
      </c>
      <c r="H21" s="3">
        <f t="shared" si="9"/>
        <v>0</v>
      </c>
      <c r="I21" s="3">
        <f t="shared" si="10"/>
        <v>0</v>
      </c>
      <c r="J21" s="3">
        <f t="shared" si="23"/>
        <v>0</v>
      </c>
      <c r="K21" s="3"/>
      <c r="L21" s="4">
        <f>_xll.BDP(D21,"PX_LAST")</f>
        <v>150.44</v>
      </c>
      <c r="M21" s="57">
        <f>_xll.BDP(D21,"CHG_PCT_1D")/100</f>
        <v>7.4332019999999999E-3</v>
      </c>
      <c r="N21" s="3">
        <f t="shared" si="24"/>
        <v>0</v>
      </c>
      <c r="O21" s="3">
        <f>EMP1호[[#This Row],[평가금액]]*EMP1호[[#This Row],[등락율]]</f>
        <v>0</v>
      </c>
      <c r="P21" s="3">
        <f t="shared" si="11"/>
        <v>0</v>
      </c>
      <c r="Q21" s="9">
        <f t="shared" si="32"/>
        <v>0</v>
      </c>
      <c r="R21" s="8">
        <v>0</v>
      </c>
      <c r="S21" s="3">
        <f>_xll.BDP(D21,"CUR_MKT_CAP")/1000000</f>
        <v>9074.021484375</v>
      </c>
      <c r="T21" s="3">
        <f>_xll.BDP(D21, "INTERVAL_AVG", "MARKET_DATA_OVERRIDE=TURNOVER", "PERIODICITY_OVERRIDE=D","CALC_INTERVAL=2M")/1000000</f>
        <v>128.5436205</v>
      </c>
      <c r="U21" s="1" t="s">
        <v>83</v>
      </c>
      <c r="W21" s="3">
        <v>0</v>
      </c>
      <c r="X21" s="3">
        <f t="shared" si="25"/>
        <v>0</v>
      </c>
      <c r="Y21" s="3" t="str">
        <f t="shared" si="26"/>
        <v/>
      </c>
      <c r="Z21" s="3">
        <f t="shared" si="27"/>
        <v>0</v>
      </c>
      <c r="AA21" s="3">
        <f t="shared" si="28"/>
        <v>0</v>
      </c>
      <c r="AB21" s="3">
        <f t="shared" si="29"/>
        <v>0</v>
      </c>
      <c r="AC21" s="3"/>
      <c r="AD21" s="4">
        <f>_xll.BDP(U21,"PX_LAST")</f>
        <v>53.22</v>
      </c>
      <c r="AE21" s="57">
        <f>_xll.BDP(U21,"CHG_PCT_1D")/100</f>
        <v>7.7636809999999997E-3</v>
      </c>
      <c r="AF21" s="3">
        <f t="shared" si="30"/>
        <v>0</v>
      </c>
      <c r="AG21" s="3">
        <f>EMP2호[[#This Row],[평가금액]]*EMP2호[[#This Row],[등락율]]*$A$5</f>
        <v>0</v>
      </c>
      <c r="AH21" s="3">
        <f t="shared" si="18"/>
        <v>0</v>
      </c>
      <c r="AI21" s="9">
        <f t="shared" si="31"/>
        <v>0</v>
      </c>
      <c r="AJ21" s="8"/>
      <c r="AK21" s="3">
        <f>_xll.BDP(U21,"CUR_MKT_CAP")/1000000</f>
        <v>35343.31640625</v>
      </c>
      <c r="AL21" s="3">
        <f>_xll.BDP(U21, "INTERVAL_AVG", "MARKET_DATA_OVERRIDE=TURNOVER", "PERIODICITY_OVERRIDE=D","CALC_INTERVAL=2M")/1000000</f>
        <v>2100.7182499999994</v>
      </c>
      <c r="AN21" s="3"/>
      <c r="AZ21" s="9"/>
      <c r="BA21" s="68"/>
      <c r="BB21" s="3"/>
      <c r="BC21" s="51"/>
      <c r="BD21" s="1" t="s">
        <v>131</v>
      </c>
      <c r="BF21" s="3">
        <v>8400</v>
      </c>
      <c r="BG21" s="3">
        <f t="shared" si="13"/>
        <v>0</v>
      </c>
      <c r="BH21" s="1" t="str">
        <f t="shared" si="14"/>
        <v>매도</v>
      </c>
      <c r="BI21" s="3">
        <f t="shared" si="19"/>
        <v>-8400</v>
      </c>
      <c r="BJ21" s="3">
        <f t="shared" si="20"/>
        <v>8400</v>
      </c>
      <c r="BK21" s="3">
        <f t="shared" si="21"/>
        <v>721390110</v>
      </c>
      <c r="BM21" s="3">
        <f>_xll.BDP(BD21,"PX_LAST")</f>
        <v>56.75</v>
      </c>
      <c r="BN21" s="57">
        <f>_xll.BDP(BD21,"CHG_PCT_1D")/100</f>
        <v>8.1719670000000005E-3</v>
      </c>
      <c r="BO21" s="3">
        <f t="shared" si="15"/>
        <v>721390110</v>
      </c>
      <c r="BP21" s="3">
        <f>EMP4호[[#This Row],[평가금액(원)]]*EMP4호[[#This Row],[등락율]]</f>
        <v>5895176.17304637</v>
      </c>
      <c r="BQ21" s="3">
        <f t="shared" si="17"/>
        <v>0</v>
      </c>
      <c r="BR21" s="7">
        <f t="shared" si="16"/>
        <v>3.6069505500000001E-2</v>
      </c>
      <c r="BS21" s="8"/>
      <c r="BT21" s="3">
        <f>_xll.BDP(BD21,"CUR_MKT_CAP")/1000000</f>
        <v>1569.137451171875</v>
      </c>
      <c r="BU21" s="3">
        <f>_xll.BDP(BD21, "INTERVAL_AVG", "MARKET_DATA_OVERRIDE=TURNOVER", "PERIODICITY_OVERRIDE=D","CALC_INTERVAL=2M")/1000000</f>
        <v>89.91602899999998</v>
      </c>
    </row>
    <row r="22" spans="1:75" ht="16.5" customHeight="1" x14ac:dyDescent="0.3">
      <c r="A22" s="76"/>
      <c r="B22" s="77" t="s">
        <v>180</v>
      </c>
      <c r="C22" s="2" t="s">
        <v>139</v>
      </c>
      <c r="E22" s="3"/>
      <c r="F22" s="3"/>
      <c r="G22" s="3" t="str">
        <f t="shared" si="8"/>
        <v/>
      </c>
      <c r="H22" s="3"/>
      <c r="I22" s="3"/>
      <c r="J22" s="3"/>
      <c r="K22" s="3"/>
      <c r="L22" s="4"/>
      <c r="M22" s="4"/>
      <c r="N22" s="4"/>
      <c r="O22" s="4"/>
      <c r="P22" s="4"/>
      <c r="R22" s="8"/>
      <c r="S22" s="3"/>
      <c r="T22" s="3"/>
      <c r="U22" s="1" t="s">
        <v>140</v>
      </c>
      <c r="W22" s="3">
        <v>0</v>
      </c>
      <c r="X22" s="3">
        <f t="shared" si="25"/>
        <v>0</v>
      </c>
      <c r="Y22" s="3" t="str">
        <f t="shared" si="26"/>
        <v/>
      </c>
      <c r="Z22" s="3">
        <f t="shared" si="27"/>
        <v>0</v>
      </c>
      <c r="AA22" s="3">
        <f t="shared" si="28"/>
        <v>0</v>
      </c>
      <c r="AB22" s="3">
        <f t="shared" si="29"/>
        <v>0</v>
      </c>
      <c r="AC22" s="3"/>
      <c r="AD22" s="4">
        <f>_xll.BDP(U22,"PX_LAST")</f>
        <v>93.57</v>
      </c>
      <c r="AE22" s="57">
        <f>_xll.BDP(U22,"CHG_PCT_1D")/100</f>
        <v>2.4641099999999998E-3</v>
      </c>
      <c r="AF22" s="3">
        <f t="shared" si="30"/>
        <v>0</v>
      </c>
      <c r="AG22" s="3">
        <f>EMP2호[[#This Row],[평가금액]]*EMP2호[[#This Row],[등락율]]*$A$5</f>
        <v>0</v>
      </c>
      <c r="AH22" s="3">
        <f t="shared" si="18"/>
        <v>0</v>
      </c>
      <c r="AI22" s="9">
        <f t="shared" si="31"/>
        <v>0</v>
      </c>
      <c r="AJ22" s="8"/>
      <c r="AK22" s="3">
        <f>_xll.BDP(U22,"CUR_MKT_CAP")/1000000</f>
        <v>13525.54296875</v>
      </c>
      <c r="AL22" s="3">
        <f>_xll.BDP(U22, "INTERVAL_AVG", "MARKET_DATA_OVERRIDE=TURNOVER", "PERIODICITY_OVERRIDE=D","CALC_INTERVAL=2M")/1000000</f>
        <v>1916.4239000000005</v>
      </c>
      <c r="AN22" s="3"/>
      <c r="AZ22" s="9"/>
      <c r="BA22" s="68"/>
      <c r="BB22" s="3"/>
      <c r="BC22" s="51"/>
      <c r="BD22" s="1" t="s">
        <v>141</v>
      </c>
      <c r="BF22" s="3">
        <v>0</v>
      </c>
      <c r="BG22" s="3">
        <f t="shared" si="13"/>
        <v>0</v>
      </c>
      <c r="BH22" s="1" t="str">
        <f t="shared" si="14"/>
        <v/>
      </c>
      <c r="BI22" s="3">
        <f t="shared" si="19"/>
        <v>0</v>
      </c>
      <c r="BJ22" s="3">
        <f t="shared" si="20"/>
        <v>0</v>
      </c>
      <c r="BK22" s="3">
        <f t="shared" si="21"/>
        <v>0</v>
      </c>
      <c r="BM22" s="3">
        <f>_xll.BDP(BD22,"PX_LAST")</f>
        <v>176.45</v>
      </c>
      <c r="BN22" s="57">
        <f>_xll.BDP(BD22,"CHG_PCT_1D")/100</f>
        <v>-1.7537900000000001E-3</v>
      </c>
      <c r="BO22" s="3">
        <f t="shared" si="15"/>
        <v>0</v>
      </c>
      <c r="BP22" s="3">
        <f>EMP4호[[#This Row],[평가금액(원)]]*EMP4호[[#This Row],[등락율]]</f>
        <v>0</v>
      </c>
      <c r="BQ22" s="3">
        <f t="shared" si="17"/>
        <v>0</v>
      </c>
      <c r="BR22" s="7">
        <f t="shared" si="16"/>
        <v>0</v>
      </c>
      <c r="BS22" s="8"/>
      <c r="BT22" s="3">
        <f>_xll.BDP(BD22,"CUR_MKT_CAP")/1000000</f>
        <v>411.12847900390625</v>
      </c>
      <c r="BU22" s="3">
        <f>_xll.BDP(BD22, "INTERVAL_AVG", "MARKET_DATA_OVERRIDE=TURNOVER", "PERIODICITY_OVERRIDE=D","CALC_INTERVAL=2M")/1000000</f>
        <v>10.487167824999998</v>
      </c>
      <c r="BW22" t="s">
        <v>163</v>
      </c>
    </row>
    <row r="23" spans="1:75" x14ac:dyDescent="0.3">
      <c r="A23" s="76"/>
      <c r="B23" s="77"/>
      <c r="C23" s="2" t="s">
        <v>144</v>
      </c>
      <c r="E23" s="3"/>
      <c r="F23" s="3"/>
      <c r="G23" s="3" t="str">
        <f t="shared" si="8"/>
        <v/>
      </c>
      <c r="H23" s="3"/>
      <c r="I23" s="3"/>
      <c r="J23" s="3"/>
      <c r="K23" s="3"/>
      <c r="L23" s="4"/>
      <c r="M23" s="4"/>
      <c r="N23" s="4"/>
      <c r="O23" s="4"/>
      <c r="P23" s="4"/>
      <c r="R23" s="8"/>
      <c r="S23" s="3"/>
      <c r="T23" s="3"/>
      <c r="U23" s="1" t="s">
        <v>142</v>
      </c>
      <c r="W23" s="3">
        <v>930</v>
      </c>
      <c r="X23" s="3">
        <f t="shared" si="25"/>
        <v>890</v>
      </c>
      <c r="Y23" s="3" t="str">
        <f t="shared" si="26"/>
        <v>매도</v>
      </c>
      <c r="Z23" s="3">
        <f t="shared" si="27"/>
        <v>-40</v>
      </c>
      <c r="AA23" s="3">
        <f t="shared" si="28"/>
        <v>40</v>
      </c>
      <c r="AB23" s="3">
        <f t="shared" si="29"/>
        <v>23691.599999999999</v>
      </c>
      <c r="AC23" s="3"/>
      <c r="AD23" s="4">
        <f>_xll.BDP(U23,"PX_LAST")</f>
        <v>592.29</v>
      </c>
      <c r="AE23" s="57">
        <f>_xll.BDP(U23,"CHG_PCT_1D")/100</f>
        <v>-4.5401800000000006E-2</v>
      </c>
      <c r="AF23" s="3">
        <f t="shared" si="30"/>
        <v>550829.69999999995</v>
      </c>
      <c r="AG23" s="3">
        <f>EMP2호[[#This Row],[평가금액]]*EMP2호[[#This Row],[등락율]]*$A$5</f>
        <v>-37845604.986507021</v>
      </c>
      <c r="AH23" s="3">
        <f>$W$2*AJ23</f>
        <v>525000</v>
      </c>
      <c r="AI23" s="9">
        <f t="shared" si="31"/>
        <v>3.6721979999999994E-2</v>
      </c>
      <c r="AJ23" s="8">
        <v>3.5000000000000003E-2</v>
      </c>
      <c r="AK23" s="3">
        <f>_xll.BDP(U23,"CUR_MKT_CAP")/1000000</f>
        <v>70596.15625</v>
      </c>
      <c r="AL23" s="3">
        <f>_xll.BDP(U23, "INTERVAL_AVG", "MARKET_DATA_OVERRIDE=TURNOVER", "PERIODICITY_OVERRIDE=D","CALC_INTERVAL=2M")/1000000</f>
        <v>7050.6656249999996</v>
      </c>
      <c r="AN23" s="3"/>
      <c r="AZ23" s="9"/>
      <c r="BA23" s="68"/>
      <c r="BB23" s="3"/>
      <c r="BC23" s="51"/>
      <c r="BD23" s="1" t="s">
        <v>143</v>
      </c>
      <c r="BF23" s="3">
        <v>0</v>
      </c>
      <c r="BG23" s="3">
        <f t="shared" si="13"/>
        <v>0</v>
      </c>
      <c r="BH23" s="1" t="str">
        <f t="shared" si="14"/>
        <v/>
      </c>
      <c r="BI23" s="3">
        <f t="shared" si="19"/>
        <v>0</v>
      </c>
      <c r="BJ23" s="3">
        <f t="shared" si="20"/>
        <v>0</v>
      </c>
      <c r="BK23" s="3">
        <f t="shared" si="21"/>
        <v>0</v>
      </c>
      <c r="BM23" s="3">
        <f>_xll.BDP(BD23,"PX_LAST")</f>
        <v>566.32000000000005</v>
      </c>
      <c r="BN23" s="57">
        <f>_xll.BDP(BD23,"CHG_PCT_1D")/100</f>
        <v>-5.5661160000000001E-2</v>
      </c>
      <c r="BO23" s="3">
        <f t="shared" si="15"/>
        <v>0</v>
      </c>
      <c r="BP23" s="3">
        <f>EMP4호[[#This Row],[평가금액(원)]]*EMP4호[[#This Row],[등락율]]</f>
        <v>0</v>
      </c>
      <c r="BQ23" s="3">
        <f t="shared" si="17"/>
        <v>0</v>
      </c>
      <c r="BR23" s="7">
        <f t="shared" si="16"/>
        <v>0</v>
      </c>
      <c r="BS23" s="8"/>
      <c r="BT23" s="3">
        <f>_xll.BDP(BD23,"CUR_MKT_CAP")/1000000</f>
        <v>42105.890625</v>
      </c>
      <c r="BU23" s="3">
        <f>_xll.BDP(BD23, "INTERVAL_AVG", "MARKET_DATA_OVERRIDE=TURNOVER", "PERIODICITY_OVERRIDE=D","CALC_INTERVAL=2M")/1000000</f>
        <v>6007.1754999999994</v>
      </c>
      <c r="BW23" t="s">
        <v>163</v>
      </c>
    </row>
    <row r="24" spans="1:75" x14ac:dyDescent="0.3">
      <c r="A24" s="76"/>
      <c r="B24" s="77"/>
      <c r="C24" s="2" t="s">
        <v>145</v>
      </c>
      <c r="E24" s="3"/>
      <c r="F24" s="3"/>
      <c r="G24" s="3" t="str">
        <f t="shared" si="8"/>
        <v/>
      </c>
      <c r="H24" s="3"/>
      <c r="I24" s="3"/>
      <c r="J24" s="3"/>
      <c r="K24" s="3"/>
      <c r="L24" s="4"/>
      <c r="M24" s="4"/>
      <c r="N24" s="4"/>
      <c r="O24" s="4"/>
      <c r="P24" s="4"/>
      <c r="R24" s="8"/>
      <c r="S24" s="3"/>
      <c r="T24" s="3"/>
      <c r="U24" s="1" t="s">
        <v>147</v>
      </c>
      <c r="W24" s="3">
        <v>0</v>
      </c>
      <c r="X24" s="3">
        <f t="shared" si="25"/>
        <v>0</v>
      </c>
      <c r="Y24" s="3" t="str">
        <f t="shared" si="26"/>
        <v/>
      </c>
      <c r="Z24" s="3">
        <f t="shared" si="27"/>
        <v>0</v>
      </c>
      <c r="AA24" s="3">
        <f t="shared" si="28"/>
        <v>0</v>
      </c>
      <c r="AB24" s="3">
        <f t="shared" si="29"/>
        <v>0</v>
      </c>
      <c r="AC24" s="3"/>
      <c r="AD24" s="4">
        <f>_xll.BDP(U24,"PX_LAST")</f>
        <v>160.46</v>
      </c>
      <c r="AE24" s="57">
        <f>_xll.BDP(U24,"CHG_PCT_1D")/100</f>
        <v>2.497605E-2</v>
      </c>
      <c r="AF24" s="3">
        <f t="shared" si="30"/>
        <v>0</v>
      </c>
      <c r="AG24" s="3">
        <f>EMP2호[[#This Row],[평가금액]]*EMP2호[[#This Row],[등락율]]*$A$5</f>
        <v>0</v>
      </c>
      <c r="AH24" s="3">
        <f t="shared" si="18"/>
        <v>0</v>
      </c>
      <c r="AI24" s="9">
        <f t="shared" si="31"/>
        <v>0</v>
      </c>
      <c r="AJ24" s="8"/>
      <c r="AK24" s="3">
        <f>_xll.BDP(U24,"CUR_MKT_CAP")/1000000</f>
        <v>10843.0849609375</v>
      </c>
      <c r="AL24" s="3">
        <f>_xll.BDP(U24, "INTERVAL_AVG", "MARKET_DATA_OVERRIDE=TURNOVER", "PERIODICITY_OVERRIDE=D","CALC_INTERVAL=2M")/1000000</f>
        <v>1288.7961950000001</v>
      </c>
      <c r="AN24" s="3"/>
      <c r="AZ24" s="9"/>
      <c r="BA24" s="68"/>
      <c r="BB24" s="3"/>
      <c r="BC24" s="51"/>
      <c r="BF24" s="3"/>
      <c r="BM24" s="3"/>
      <c r="BN24" s="57"/>
      <c r="BP24" s="3"/>
      <c r="BR24" s="7"/>
      <c r="BS24" s="8"/>
      <c r="BT24" s="3"/>
      <c r="BU24" s="3"/>
      <c r="BW24" t="s">
        <v>163</v>
      </c>
    </row>
    <row r="25" spans="1:75" x14ac:dyDescent="0.3">
      <c r="A25" s="76"/>
      <c r="B25" s="77"/>
      <c r="C25" s="2" t="s">
        <v>146</v>
      </c>
      <c r="E25" s="3"/>
      <c r="F25" s="3"/>
      <c r="G25" s="3" t="str">
        <f t="shared" si="8"/>
        <v/>
      </c>
      <c r="H25" s="3"/>
      <c r="I25" s="3"/>
      <c r="J25" s="3"/>
      <c r="K25" s="3"/>
      <c r="L25" s="4"/>
      <c r="M25" s="4"/>
      <c r="N25" s="4"/>
      <c r="O25" s="4"/>
      <c r="P25" s="4"/>
      <c r="R25" s="8"/>
      <c r="S25" s="3"/>
      <c r="T25" s="3"/>
      <c r="U25" s="1" t="s">
        <v>148</v>
      </c>
      <c r="W25" s="3">
        <v>0</v>
      </c>
      <c r="X25" s="3">
        <f t="shared" si="25"/>
        <v>0</v>
      </c>
      <c r="Y25" s="3" t="str">
        <f t="shared" si="26"/>
        <v/>
      </c>
      <c r="Z25" s="3">
        <f t="shared" si="27"/>
        <v>0</v>
      </c>
      <c r="AA25" s="3">
        <f t="shared" si="28"/>
        <v>0</v>
      </c>
      <c r="AB25" s="3">
        <f t="shared" si="29"/>
        <v>0</v>
      </c>
      <c r="AC25" s="3"/>
      <c r="AD25" s="4">
        <f>_xll.BDP(U25,"PX_LAST")</f>
        <v>51.88</v>
      </c>
      <c r="AE25" s="57">
        <f>_xll.BDP(U25,"CHG_PCT_1D")/100</f>
        <v>3.8015210000000001E-2</v>
      </c>
      <c r="AF25" s="3">
        <f t="shared" si="30"/>
        <v>0</v>
      </c>
      <c r="AG25" s="3">
        <f>EMP2호[[#This Row],[평가금액]]*EMP2호[[#This Row],[등락율]]*$A$5</f>
        <v>0</v>
      </c>
      <c r="AH25" s="3">
        <f t="shared" si="18"/>
        <v>0</v>
      </c>
      <c r="AI25" s="9">
        <f t="shared" si="31"/>
        <v>0</v>
      </c>
      <c r="AJ25" s="8"/>
      <c r="AK25" s="3">
        <f>_xll.BDP(U25,"CUR_MKT_CAP")/1000000</f>
        <v>3190.6201171875</v>
      </c>
      <c r="AL25" s="3">
        <f>_xll.BDP(U25, "INTERVAL_AVG", "MARKET_DATA_OVERRIDE=TURNOVER", "PERIODICITY_OVERRIDE=D","CALC_INTERVAL=2M")/1000000</f>
        <v>141.03171275</v>
      </c>
      <c r="AN25" s="3"/>
      <c r="AZ25" s="9"/>
      <c r="BA25" s="68"/>
      <c r="BB25" s="3"/>
      <c r="BC25" s="51"/>
      <c r="BF25" s="3"/>
      <c r="BM25" s="3"/>
      <c r="BN25" s="57"/>
      <c r="BP25" s="3"/>
      <c r="BR25" s="7"/>
      <c r="BS25" s="8"/>
      <c r="BT25" s="3"/>
      <c r="BU25" s="3"/>
      <c r="BW25" t="s">
        <v>163</v>
      </c>
    </row>
    <row r="26" spans="1:75" x14ac:dyDescent="0.3">
      <c r="A26" s="76"/>
      <c r="B26" s="77"/>
      <c r="C26" s="2" t="s">
        <v>149</v>
      </c>
      <c r="E26" s="3"/>
      <c r="F26" s="3"/>
      <c r="G26" s="3" t="str">
        <f t="shared" si="8"/>
        <v/>
      </c>
      <c r="H26" s="3"/>
      <c r="I26" s="3"/>
      <c r="J26" s="3"/>
      <c r="K26" s="3"/>
      <c r="L26" s="4"/>
      <c r="M26" s="4"/>
      <c r="N26" s="4"/>
      <c r="O26" s="4"/>
      <c r="P26" s="4"/>
      <c r="R26" s="8"/>
      <c r="S26" s="3"/>
      <c r="T26" s="3"/>
      <c r="U26" s="1" t="s">
        <v>150</v>
      </c>
      <c r="W26" s="3">
        <v>0</v>
      </c>
      <c r="X26" s="3">
        <f t="shared" si="25"/>
        <v>0</v>
      </c>
      <c r="Y26" s="3" t="str">
        <f t="shared" si="26"/>
        <v/>
      </c>
      <c r="Z26" s="3">
        <f t="shared" si="27"/>
        <v>0</v>
      </c>
      <c r="AA26" s="3">
        <f t="shared" si="28"/>
        <v>0</v>
      </c>
      <c r="AB26" s="3">
        <f t="shared" si="29"/>
        <v>0</v>
      </c>
      <c r="AC26" s="3"/>
      <c r="AD26" s="4">
        <f>_xll.BDP(U26,"PX_LAST")</f>
        <v>67.23</v>
      </c>
      <c r="AE26" s="57">
        <f>_xll.BDP(U26,"CHG_PCT_1D")/100</f>
        <v>1.0673479999999999E-2</v>
      </c>
      <c r="AF26" s="3">
        <f t="shared" si="30"/>
        <v>0</v>
      </c>
      <c r="AG26" s="3">
        <f>EMP2호[[#This Row],[평가금액]]*EMP2호[[#This Row],[등락율]]*$A$5</f>
        <v>0</v>
      </c>
      <c r="AH26" s="3">
        <f t="shared" si="18"/>
        <v>0</v>
      </c>
      <c r="AI26" s="9">
        <f t="shared" si="31"/>
        <v>0</v>
      </c>
      <c r="AJ26" s="8"/>
      <c r="AK26" s="3">
        <f>_xll.BDP(U26,"CUR_MKT_CAP")/1000000</f>
        <v>279.0045166015625</v>
      </c>
      <c r="AL26" s="3">
        <f>_xll.BDP(U26, "INTERVAL_AVG", "MARKET_DATA_OVERRIDE=TURNOVER", "PERIODICITY_OVERRIDE=D","CALC_INTERVAL=2M")/1000000</f>
        <v>2.8335060674999992</v>
      </c>
      <c r="AN26" s="3"/>
      <c r="AZ26" s="9"/>
      <c r="BA26" s="68"/>
      <c r="BB26" s="3"/>
      <c r="BC26" s="51"/>
      <c r="BF26" s="3"/>
      <c r="BM26" s="3"/>
      <c r="BN26" s="57"/>
      <c r="BP26" s="3"/>
      <c r="BR26" s="7"/>
      <c r="BS26" s="8"/>
      <c r="BT26" s="3"/>
      <c r="BU26" s="3"/>
      <c r="BW26" t="s">
        <v>163</v>
      </c>
    </row>
    <row r="27" spans="1:75" x14ac:dyDescent="0.3">
      <c r="A27" s="76"/>
      <c r="B27" s="77"/>
      <c r="C27" s="2" t="s">
        <v>151</v>
      </c>
      <c r="E27" s="3"/>
      <c r="F27" s="3"/>
      <c r="G27" s="3" t="str">
        <f t="shared" si="8"/>
        <v/>
      </c>
      <c r="H27" s="3"/>
      <c r="I27" s="3"/>
      <c r="J27" s="3"/>
      <c r="K27" s="3"/>
      <c r="L27" s="4"/>
      <c r="M27" s="4"/>
      <c r="N27" s="4"/>
      <c r="O27" s="4"/>
      <c r="P27" s="4"/>
      <c r="R27" s="8"/>
      <c r="S27" s="3"/>
      <c r="T27" s="3"/>
      <c r="U27" s="1" t="s">
        <v>152</v>
      </c>
      <c r="W27" s="3">
        <v>0</v>
      </c>
      <c r="X27" s="3">
        <f t="shared" si="25"/>
        <v>0</v>
      </c>
      <c r="Y27" s="3" t="str">
        <f t="shared" si="26"/>
        <v/>
      </c>
      <c r="Z27" s="3">
        <f t="shared" si="27"/>
        <v>0</v>
      </c>
      <c r="AA27" s="3">
        <f t="shared" si="28"/>
        <v>0</v>
      </c>
      <c r="AB27" s="3">
        <f t="shared" si="29"/>
        <v>0</v>
      </c>
      <c r="AC27" s="3"/>
      <c r="AD27" s="4">
        <f>_xll.BDP(U27,"PX_LAST")</f>
        <v>40.799999999999997</v>
      </c>
      <c r="AE27" s="57">
        <f>_xll.BDP(U27,"CHG_PCT_1D")/100</f>
        <v>-2.3923440000000001E-2</v>
      </c>
      <c r="AF27" s="3">
        <f t="shared" si="30"/>
        <v>0</v>
      </c>
      <c r="AG27" s="3">
        <f>EMP2호[[#This Row],[평가금액]]*EMP2호[[#This Row],[등락율]]*$A$5</f>
        <v>0</v>
      </c>
      <c r="AH27" s="3">
        <f t="shared" si="18"/>
        <v>0</v>
      </c>
      <c r="AI27" s="9">
        <f>AF27/$W$2</f>
        <v>0</v>
      </c>
      <c r="AJ27" s="8"/>
      <c r="AK27" s="3">
        <f>_xll.BDP(U27,"CUR_MKT_CAP")/1000000</f>
        <v>1236.239990234375</v>
      </c>
      <c r="AL27" s="3">
        <f>_xll.BDP(U27, "INTERVAL_AVG", "MARKET_DATA_OVERRIDE=TURNOVER", "PERIODICITY_OVERRIDE=D","CALC_INTERVAL=2M")/1000000</f>
        <v>65.91390475</v>
      </c>
      <c r="AN27" s="3"/>
      <c r="AZ27" s="9"/>
      <c r="BA27" s="68"/>
      <c r="BB27" s="3"/>
      <c r="BC27" s="51"/>
      <c r="BF27" s="3"/>
      <c r="BM27" s="3"/>
      <c r="BN27" s="57"/>
      <c r="BP27" s="3"/>
      <c r="BR27" s="7"/>
      <c r="BS27" s="8"/>
      <c r="BT27" s="3"/>
      <c r="BU27" s="3"/>
      <c r="BW27" t="s">
        <v>163</v>
      </c>
    </row>
    <row r="28" spans="1:75" x14ac:dyDescent="0.3">
      <c r="A28" s="76"/>
      <c r="B28" s="77"/>
      <c r="C28" s="2" t="s">
        <v>315</v>
      </c>
      <c r="E28" s="3"/>
      <c r="F28" s="3"/>
      <c r="G28" s="3" t="str">
        <f t="shared" si="8"/>
        <v/>
      </c>
      <c r="H28" s="3"/>
      <c r="I28" s="3"/>
      <c r="J28" s="3"/>
      <c r="K28" s="3"/>
      <c r="L28" s="4"/>
      <c r="M28" s="4"/>
      <c r="N28" s="4"/>
      <c r="O28" s="4"/>
      <c r="P28" s="4"/>
      <c r="R28" s="8"/>
      <c r="S28" s="3"/>
      <c r="T28" s="3"/>
      <c r="U28" s="1" t="s">
        <v>337</v>
      </c>
      <c r="V28" s="2" t="s">
        <v>317</v>
      </c>
      <c r="W28" s="3">
        <v>40260</v>
      </c>
      <c r="X28" s="3">
        <f>ROUND(AH28*A5/AD28,-1)</f>
        <v>42670</v>
      </c>
      <c r="Y28" s="3" t="str">
        <f t="shared" ref="Y28" si="33">IF(Z28&gt;0,"매수",IF(Z28=0,"","매도"))</f>
        <v>매수</v>
      </c>
      <c r="Z28" s="3">
        <f>X28-W28</f>
        <v>2410</v>
      </c>
      <c r="AA28" s="3">
        <f t="shared" ref="AA28" si="34">ABS(Z28)</f>
        <v>2410</v>
      </c>
      <c r="AB28" s="3">
        <f>AA28*AD28/A5</f>
        <v>21180.863014603845</v>
      </c>
      <c r="AC28" s="3"/>
      <c r="AD28" s="73">
        <f>_xll.IMDP("STK",$U28,"현재가")</f>
        <v>13300</v>
      </c>
      <c r="AE28" s="57">
        <f>_xll.IMDP("STK",$U28,"등락률")/100</f>
        <v>0</v>
      </c>
      <c r="AF28" s="3">
        <f>W28*AD28</f>
        <v>535458000</v>
      </c>
      <c r="AG28" s="3">
        <f>EMP2호[[#This Row],[평가금액]]*EMP2호[[#This Row],[등락율]]</f>
        <v>0</v>
      </c>
      <c r="AH28" s="3">
        <f>$W$2*AJ28</f>
        <v>375000</v>
      </c>
      <c r="AI28" s="9">
        <f>AF28/A5/$W$2</f>
        <v>2.3588977730787022E-2</v>
      </c>
      <c r="AJ28" s="8">
        <v>2.5000000000000001E-2</v>
      </c>
      <c r="AK28" s="3" t="e">
        <f>_xll.BDP(U28,"CUR_MKT_CAP")/1000000</f>
        <v>#VALUE!</v>
      </c>
      <c r="AL28" s="3" t="e">
        <f>_xll.BDP(U28, "INTERVAL_AVG", "MARKET_DATA_OVERRIDE=TURNOVER", "PERIODICITY_OVERRIDE=D","CALC_INTERVAL=2M")/1000000</f>
        <v>#VALUE!</v>
      </c>
      <c r="AN28" s="3"/>
      <c r="AZ28" s="9"/>
      <c r="BA28" s="68"/>
      <c r="BB28" s="3"/>
      <c r="BC28" s="51"/>
      <c r="BF28" s="3"/>
      <c r="BM28" s="3"/>
      <c r="BN28" s="57"/>
      <c r="BP28" s="3"/>
      <c r="BR28" s="7"/>
      <c r="BS28" s="8"/>
      <c r="BT28" s="3"/>
      <c r="BU28" s="3"/>
      <c r="BW28" t="s">
        <v>163</v>
      </c>
    </row>
    <row r="29" spans="1:75" x14ac:dyDescent="0.3">
      <c r="A29" s="76"/>
      <c r="B29" s="77"/>
      <c r="C29" s="2" t="s">
        <v>155</v>
      </c>
      <c r="E29" s="3"/>
      <c r="F29" s="3"/>
      <c r="G29" s="3" t="str">
        <f>IF(H29&gt;0,"매수",IF(H29=0,"","매도"))</f>
        <v/>
      </c>
      <c r="H29" s="3"/>
      <c r="I29" s="3"/>
      <c r="J29" s="3"/>
      <c r="K29" s="3"/>
      <c r="L29" s="4"/>
      <c r="M29" s="4"/>
      <c r="N29" s="3"/>
      <c r="O29" s="3"/>
      <c r="P29" s="3"/>
      <c r="Q29" s="9"/>
      <c r="R29" s="8"/>
      <c r="S29" s="3"/>
      <c r="T29" s="3"/>
      <c r="U29" s="1" t="s">
        <v>156</v>
      </c>
      <c r="W29" s="3">
        <v>2660</v>
      </c>
      <c r="X29" s="3">
        <f t="shared" si="25"/>
        <v>2850</v>
      </c>
      <c r="Y29" s="3" t="str">
        <f t="shared" si="26"/>
        <v>매수</v>
      </c>
      <c r="Z29" s="3">
        <f t="shared" si="27"/>
        <v>190</v>
      </c>
      <c r="AA29" s="3">
        <f t="shared" si="28"/>
        <v>190</v>
      </c>
      <c r="AB29" s="3">
        <f t="shared" si="29"/>
        <v>34992.299999999996</v>
      </c>
      <c r="AC29" s="3"/>
      <c r="AD29" s="4">
        <f>_xll.BDP(U29,"PX_LAST")</f>
        <v>184.17</v>
      </c>
      <c r="AE29" s="57">
        <f>_xll.BDP(U29,"CHG_PCT_1D")/100</f>
        <v>-1.6238450000000001E-2</v>
      </c>
      <c r="AF29" s="3">
        <f t="shared" si="30"/>
        <v>489892.19999999995</v>
      </c>
      <c r="AG29" s="3">
        <f>EMP2호[[#This Row],[평가금액]]*EMP2호[[#This Row],[등락율]]*$A$5</f>
        <v>-12038437.689569697</v>
      </c>
      <c r="AH29" s="3">
        <f t="shared" si="18"/>
        <v>525000</v>
      </c>
      <c r="AI29" s="9">
        <f t="shared" si="31"/>
        <v>3.2659479999999998E-2</v>
      </c>
      <c r="AJ29" s="8">
        <v>3.5000000000000003E-2</v>
      </c>
      <c r="AK29" s="3">
        <f>_xll.BDP(U29,"CUR_MKT_CAP")/1000000</f>
        <v>11740.837890625</v>
      </c>
      <c r="AL29" s="3">
        <f>_xll.BDP(U29, "INTERVAL_AVG", "MARKET_DATA_OVERRIDE=TURNOVER", "PERIODICITY_OVERRIDE=D","CALC_INTERVAL=2M")/1000000</f>
        <v>159.0341267499999</v>
      </c>
      <c r="AN29" s="3"/>
      <c r="AO29" s="3"/>
      <c r="AP29" s="3"/>
      <c r="AQ29" s="3"/>
      <c r="AR29" s="3"/>
      <c r="AS29" s="3"/>
      <c r="AT29" s="3"/>
      <c r="AU29" s="4"/>
      <c r="AV29" s="4"/>
      <c r="AW29" s="3"/>
      <c r="AX29" s="3"/>
      <c r="AY29" s="3"/>
      <c r="AZ29" s="9"/>
      <c r="BA29" s="68"/>
      <c r="BB29" s="3"/>
      <c r="BC29" s="51"/>
      <c r="BD29" s="75" t="s">
        <v>344</v>
      </c>
      <c r="BE29" s="1" t="s">
        <v>343</v>
      </c>
      <c r="BF29" s="3">
        <v>15930</v>
      </c>
      <c r="BG29" s="3">
        <f t="shared" ref="BG29" si="35">IF(BE29&lt;&gt;"",ROUND(BQ29/BM29,-1), ROUND(BQ29/(BM29*$A$5),-1))</f>
        <v>0</v>
      </c>
      <c r="BH29" s="1" t="str">
        <f t="shared" ref="BH29" si="36">IF(BI29&gt;0,"매수",IF(BI29=0,"","매도"))</f>
        <v>매도</v>
      </c>
      <c r="BI29" s="3">
        <f t="shared" ref="BI29" si="37">BG29-BF29</f>
        <v>-15930</v>
      </c>
      <c r="BJ29" s="3">
        <f t="shared" ref="BJ29" si="38">ABS(BI29)</f>
        <v>15930</v>
      </c>
      <c r="BK29" s="3">
        <f t="shared" ref="BK29" si="39">IF(BE29&lt;&gt;"",BJ29*BM29,BJ29*BM29*$A$5)</f>
        <v>406931850</v>
      </c>
      <c r="BM29" s="67">
        <f>_xll.IMDP("STK",$BD29,"현재가")</f>
        <v>25545</v>
      </c>
      <c r="BN29" s="57">
        <f>_xll.IMDP("STK",$BD29,"등락률")/100</f>
        <v>0</v>
      </c>
      <c r="BO29" s="3">
        <f t="shared" ref="BO29" si="40">IF(BE29&lt;&gt;"",BF29*BM29,BF29*BM29*$A$5)</f>
        <v>406931850</v>
      </c>
      <c r="BP29" s="3">
        <f>EMP4호[[#This Row],[평가금액(원)]]*EMP4호[[#This Row],[등락율]]</f>
        <v>0</v>
      </c>
      <c r="BQ29" s="3">
        <f t="shared" ref="BQ29" si="41">$BE$2*BS29</f>
        <v>0</v>
      </c>
      <c r="BR29" s="7">
        <f t="shared" ref="BR29" si="42">BO29/$BE$2</f>
        <v>2.03465925E-2</v>
      </c>
      <c r="BS29" s="8"/>
      <c r="BT29" s="3" t="e">
        <f>_xll.BDP(BD29,"CUR_MKT_CAP")/1000000</f>
        <v>#VALUE!</v>
      </c>
      <c r="BU29" s="3" t="e">
        <f>_xll.BDP(BD29, "INTERVAL_AVG", "MARKET_DATA_OVERRIDE=TURNOVER", "PERIODICITY_OVERRIDE=D","CALC_INTERVAL=2M")/1000000</f>
        <v>#VALUE!</v>
      </c>
    </row>
    <row r="30" spans="1:75" x14ac:dyDescent="0.3">
      <c r="A30" s="76"/>
      <c r="B30" s="77"/>
      <c r="C30" s="2" t="s">
        <v>165</v>
      </c>
      <c r="E30" s="3"/>
      <c r="F30" s="3"/>
      <c r="G30" s="3" t="str">
        <f t="shared" si="8"/>
        <v/>
      </c>
      <c r="H30" s="3"/>
      <c r="I30" s="3"/>
      <c r="J30" s="3"/>
      <c r="K30" s="3"/>
      <c r="L30" s="4"/>
      <c r="M30" s="4"/>
      <c r="N30" s="4"/>
      <c r="O30" s="4"/>
      <c r="P30" s="4"/>
      <c r="R30" s="8"/>
      <c r="S30" s="3"/>
      <c r="T30" s="3"/>
      <c r="U30" s="1" t="s">
        <v>166</v>
      </c>
      <c r="W30" s="3">
        <v>0</v>
      </c>
      <c r="X30" s="3">
        <f t="shared" si="25"/>
        <v>0</v>
      </c>
      <c r="Y30" s="3" t="str">
        <f t="shared" si="26"/>
        <v/>
      </c>
      <c r="Z30" s="3">
        <f t="shared" si="27"/>
        <v>0</v>
      </c>
      <c r="AA30" s="3">
        <f t="shared" si="28"/>
        <v>0</v>
      </c>
      <c r="AB30" s="3">
        <f t="shared" si="29"/>
        <v>0</v>
      </c>
      <c r="AC30" s="3"/>
      <c r="AD30" s="4">
        <f>_xll.BDP(U30,"PX_LAST")</f>
        <v>71.09</v>
      </c>
      <c r="AE30" s="57">
        <f>_xll.BDP(U30,"CHG_PCT_1D")/100</f>
        <v>-2.8028439999999998E-2</v>
      </c>
      <c r="AF30" s="3">
        <f t="shared" si="30"/>
        <v>0</v>
      </c>
      <c r="AG30" s="3">
        <f>EMP2호[[#This Row],[평가금액]]*EMP2호[[#This Row],[등락율]]*$A$5</f>
        <v>0</v>
      </c>
      <c r="AH30" s="3">
        <f t="shared" si="18"/>
        <v>0</v>
      </c>
      <c r="AI30" s="9">
        <f t="shared" si="31"/>
        <v>0</v>
      </c>
      <c r="AJ30" s="8"/>
      <c r="AK30" s="3">
        <f>_xll.BDP(U30,"CUR_MKT_CAP")/1000000</f>
        <v>3696.6796875</v>
      </c>
      <c r="AL30" s="3">
        <f>_xll.BDP(U30, "INTERVAL_AVG", "MARKET_DATA_OVERRIDE=TURNOVER", "PERIODICITY_OVERRIDE=D","CALC_INTERVAL=2M")/1000000</f>
        <v>71.089532750000004</v>
      </c>
      <c r="AN30" s="3"/>
      <c r="AZ30" s="9"/>
      <c r="BA30" s="68"/>
      <c r="BB30" s="3"/>
      <c r="BC30" s="51"/>
      <c r="BD30" s="75" t="s">
        <v>345</v>
      </c>
      <c r="BE30" s="1" t="s">
        <v>211</v>
      </c>
      <c r="BF30" s="3">
        <v>0</v>
      </c>
      <c r="BG30" s="3">
        <f>IF(BE30&lt;&gt;"",ROUND(BQ30/BM30,-1), ROUND(BQ30/(BM30*$A$5),-1))</f>
        <v>0</v>
      </c>
      <c r="BH30" s="1" t="str">
        <f t="shared" ref="BH30" si="43">IF(BI30&gt;0,"매수",IF(BI30=0,"","매도"))</f>
        <v/>
      </c>
      <c r="BI30" s="3">
        <f t="shared" ref="BI30" si="44">BG30-BF30</f>
        <v>0</v>
      </c>
      <c r="BJ30" s="3">
        <f t="shared" ref="BJ30" si="45">ABS(BI30)</f>
        <v>0</v>
      </c>
      <c r="BK30" s="3">
        <f t="shared" ref="BK30" si="46">IF(BE30&lt;&gt;"",BJ30*BM30,BJ30*BM30*$A$5)</f>
        <v>0</v>
      </c>
      <c r="BM30" s="67">
        <f>_xll.IMDP("STK",$BD30,"현재가")</f>
        <v>67705</v>
      </c>
      <c r="BN30" s="57">
        <f>_xll.IMDP("STK",$BD30,"등락률")/100</f>
        <v>0</v>
      </c>
      <c r="BO30" s="3">
        <f>IF(BE30&lt;&gt;"",BF30*BM30,BF30*BM30*$A$5)</f>
        <v>0</v>
      </c>
      <c r="BP30" s="3">
        <f>EMP4호[[#This Row],[평가금액(원)]]*EMP4호[[#This Row],[등락율]]</f>
        <v>0</v>
      </c>
      <c r="BQ30" s="3">
        <f t="shared" ref="BQ30" si="47">$BE$2*BS30</f>
        <v>0</v>
      </c>
      <c r="BR30" s="7">
        <f>BO30/$BE$2</f>
        <v>0</v>
      </c>
      <c r="BS30" s="8"/>
      <c r="BT30" s="3" t="e">
        <f>_xll.BDP(BD30,"CUR_MKT_CAP")/1000000</f>
        <v>#VALUE!</v>
      </c>
      <c r="BU30" s="3" t="e">
        <f>_xll.BDP(BD30, "INTERVAL_AVG", "MARKET_DATA_OVERRIDE=TURNOVER", "PERIODICITY_OVERRIDE=D","CALC_INTERVAL=2M")/1000000</f>
        <v>#VALUE!</v>
      </c>
    </row>
    <row r="31" spans="1:75" x14ac:dyDescent="0.3">
      <c r="A31" s="76"/>
      <c r="B31" s="77"/>
      <c r="C31" s="2" t="s">
        <v>167</v>
      </c>
      <c r="E31" s="3"/>
      <c r="F31" s="3"/>
      <c r="G31" s="3" t="str">
        <f t="shared" si="8"/>
        <v/>
      </c>
      <c r="H31" s="3"/>
      <c r="I31" s="3"/>
      <c r="J31" s="3"/>
      <c r="K31" s="3"/>
      <c r="L31" s="4"/>
      <c r="M31" s="4"/>
      <c r="N31" s="4"/>
      <c r="O31" s="4"/>
      <c r="P31" s="4"/>
      <c r="R31" s="8"/>
      <c r="S31" s="3"/>
      <c r="T31" s="3"/>
      <c r="U31" s="1" t="s">
        <v>168</v>
      </c>
      <c r="W31" s="3">
        <v>0</v>
      </c>
      <c r="X31" s="3">
        <f t="shared" si="25"/>
        <v>0</v>
      </c>
      <c r="Y31" s="3" t="str">
        <f t="shared" si="26"/>
        <v/>
      </c>
      <c r="Z31" s="3">
        <f t="shared" si="27"/>
        <v>0</v>
      </c>
      <c r="AA31" s="3">
        <f t="shared" si="28"/>
        <v>0</v>
      </c>
      <c r="AB31" s="3">
        <f t="shared" si="29"/>
        <v>0</v>
      </c>
      <c r="AC31" s="3"/>
      <c r="AD31" s="4">
        <f>_xll.BDP(U31,"PX_LAST")</f>
        <v>28.46</v>
      </c>
      <c r="AE31" s="57">
        <f>_xll.BDP(U31,"CHG_PCT_1D")/100</f>
        <v>-3.4927090000000001E-2</v>
      </c>
      <c r="AF31" s="3">
        <f t="shared" si="30"/>
        <v>0</v>
      </c>
      <c r="AG31" s="3">
        <f>EMP2호[[#This Row],[평가금액]]*EMP2호[[#This Row],[등락율]]*$A$5</f>
        <v>0</v>
      </c>
      <c r="AH31" s="3">
        <f t="shared" si="18"/>
        <v>0</v>
      </c>
      <c r="AI31" s="9">
        <f t="shared" si="31"/>
        <v>0</v>
      </c>
      <c r="AJ31" s="8"/>
      <c r="AK31" s="3">
        <f>_xll.BDP(U31,"CUR_MKT_CAP")/1000000</f>
        <v>2415.96923828125</v>
      </c>
      <c r="AL31" s="3">
        <f>_xll.BDP(U31, "INTERVAL_AVG", "MARKET_DATA_OVERRIDE=TURNOVER", "PERIODICITY_OVERRIDE=D","CALC_INTERVAL=2M")/1000000</f>
        <v>53.084843249999992</v>
      </c>
      <c r="AN31" s="3"/>
      <c r="AZ31" s="9"/>
      <c r="BA31" s="68"/>
      <c r="BB31" s="3"/>
      <c r="BC31" s="51"/>
      <c r="BF31" s="3"/>
      <c r="BM31" s="3"/>
      <c r="BN31" s="57"/>
      <c r="BP31" s="3"/>
      <c r="BR31" s="7"/>
      <c r="BS31" s="8"/>
      <c r="BT31" s="3"/>
      <c r="BU31" s="3"/>
      <c r="BW31" t="s">
        <v>163</v>
      </c>
    </row>
    <row r="32" spans="1:75" x14ac:dyDescent="0.3">
      <c r="A32" s="76"/>
      <c r="B32" s="77"/>
      <c r="C32" s="2" t="s">
        <v>160</v>
      </c>
      <c r="E32" s="3"/>
      <c r="F32" s="3"/>
      <c r="G32" s="3" t="str">
        <f t="shared" si="8"/>
        <v/>
      </c>
      <c r="H32" s="3"/>
      <c r="I32" s="3"/>
      <c r="J32" s="3"/>
      <c r="K32" s="3"/>
      <c r="L32" s="4"/>
      <c r="M32" s="4"/>
      <c r="N32" s="4"/>
      <c r="O32" s="4"/>
      <c r="P32" s="4"/>
      <c r="R32" s="8"/>
      <c r="S32" s="3"/>
      <c r="T32" s="3"/>
      <c r="U32" s="1" t="s">
        <v>157</v>
      </c>
      <c r="W32" s="3">
        <v>0</v>
      </c>
      <c r="X32" s="3">
        <f t="shared" si="25"/>
        <v>0</v>
      </c>
      <c r="Y32" s="3" t="str">
        <f t="shared" si="26"/>
        <v/>
      </c>
      <c r="Z32" s="3">
        <f t="shared" si="27"/>
        <v>0</v>
      </c>
      <c r="AA32" s="3">
        <f t="shared" si="28"/>
        <v>0</v>
      </c>
      <c r="AB32" s="3">
        <f t="shared" si="29"/>
        <v>0</v>
      </c>
      <c r="AC32" s="3"/>
      <c r="AD32" s="4">
        <f>_xll.BDP(U32,"PX_LAST")</f>
        <v>114.93</v>
      </c>
      <c r="AE32" s="57">
        <f>_xll.BDP(U32,"CHG_PCT_1D")/100</f>
        <v>5.2232959999999997E-4</v>
      </c>
      <c r="AF32" s="3">
        <f t="shared" si="30"/>
        <v>0</v>
      </c>
      <c r="AG32" s="3">
        <f>EMP2호[[#This Row],[평가금액]]*EMP2호[[#This Row],[등락율]]*$A$5</f>
        <v>0</v>
      </c>
      <c r="AH32" s="3">
        <f t="shared" si="18"/>
        <v>0</v>
      </c>
      <c r="AI32" s="9">
        <f t="shared" si="31"/>
        <v>0</v>
      </c>
      <c r="AJ32" s="8"/>
      <c r="AK32" s="3">
        <f>_xll.BDP(U32,"CUR_MKT_CAP")/1000000</f>
        <v>4170.9970703125</v>
      </c>
      <c r="AL32" s="3">
        <f>_xll.BDP(U32, "INTERVAL_AVG", "MARKET_DATA_OVERRIDE=TURNOVER", "PERIODICITY_OVERRIDE=D","CALC_INTERVAL=2M")/1000000</f>
        <v>66.967580000000012</v>
      </c>
      <c r="AN32" s="3"/>
      <c r="AZ32" s="9"/>
      <c r="BA32" s="68"/>
      <c r="BB32" s="3"/>
      <c r="BC32" s="51"/>
      <c r="BF32" s="3"/>
      <c r="BM32" s="3"/>
      <c r="BN32" s="57"/>
      <c r="BP32" s="3"/>
      <c r="BR32" s="7"/>
      <c r="BS32" s="8"/>
      <c r="BT32" s="3"/>
      <c r="BU32" s="3"/>
    </row>
    <row r="33" spans="1:75" x14ac:dyDescent="0.3">
      <c r="A33" s="76"/>
      <c r="B33" s="77"/>
      <c r="C33" s="2" t="s">
        <v>169</v>
      </c>
      <c r="E33" s="3"/>
      <c r="F33" s="3"/>
      <c r="G33" s="3" t="str">
        <f t="shared" si="8"/>
        <v/>
      </c>
      <c r="H33" s="3"/>
      <c r="I33" s="3"/>
      <c r="J33" s="3"/>
      <c r="K33" s="3"/>
      <c r="L33" s="4"/>
      <c r="M33" s="4"/>
      <c r="N33" s="4"/>
      <c r="O33" s="4"/>
      <c r="P33" s="4"/>
      <c r="R33" s="8"/>
      <c r="S33" s="3"/>
      <c r="T33" s="3"/>
      <c r="U33" s="1" t="s">
        <v>170</v>
      </c>
      <c r="W33" s="3">
        <v>0</v>
      </c>
      <c r="X33" s="3">
        <f t="shared" si="25"/>
        <v>0</v>
      </c>
      <c r="Y33" s="3" t="str">
        <f t="shared" si="26"/>
        <v/>
      </c>
      <c r="Z33" s="3">
        <f t="shared" si="27"/>
        <v>0</v>
      </c>
      <c r="AA33" s="3">
        <f t="shared" si="28"/>
        <v>0</v>
      </c>
      <c r="AB33" s="3">
        <f t="shared" si="29"/>
        <v>0</v>
      </c>
      <c r="AC33" s="3"/>
      <c r="AD33" s="4">
        <f>_xll.BDP(U33,"PX_LAST")</f>
        <v>125.91</v>
      </c>
      <c r="AE33" s="57">
        <f>_xll.BDP(U33,"CHG_PCT_1D")/100</f>
        <v>-2.6669760000000001E-2</v>
      </c>
      <c r="AF33" s="3">
        <f t="shared" si="30"/>
        <v>0</v>
      </c>
      <c r="AG33" s="3">
        <f>EMP2호[[#This Row],[평가금액]]*EMP2호[[#This Row],[등락율]]*$A$5</f>
        <v>0</v>
      </c>
      <c r="AH33" s="3">
        <f t="shared" si="18"/>
        <v>0</v>
      </c>
      <c r="AI33" s="9">
        <f t="shared" si="31"/>
        <v>0</v>
      </c>
      <c r="AJ33" s="8"/>
      <c r="AK33" s="3">
        <f>_xll.BDP(U33,"CUR_MKT_CAP")/1000000</f>
        <v>10935.2841796875</v>
      </c>
      <c r="AL33" s="3">
        <f>_xll.BDP(U33, "INTERVAL_AVG", "MARKET_DATA_OVERRIDE=TURNOVER", "PERIODICITY_OVERRIDE=D","CALC_INTERVAL=2M")/1000000</f>
        <v>96.147989250000009</v>
      </c>
      <c r="AN33" s="3"/>
      <c r="AZ33" s="9"/>
      <c r="BA33" s="68"/>
      <c r="BB33" s="3"/>
      <c r="BC33" s="51"/>
      <c r="BF33" s="3"/>
      <c r="BM33" s="3"/>
      <c r="BN33" s="57"/>
      <c r="BP33" s="3"/>
      <c r="BR33" s="7"/>
      <c r="BS33" s="8"/>
      <c r="BT33" s="3"/>
      <c r="BU33" s="3"/>
      <c r="BW33" t="s">
        <v>163</v>
      </c>
    </row>
    <row r="34" spans="1:75" x14ac:dyDescent="0.3">
      <c r="A34" s="76"/>
      <c r="B34" s="77"/>
      <c r="C34" s="2" t="s">
        <v>158</v>
      </c>
      <c r="E34" s="3"/>
      <c r="F34" s="3"/>
      <c r="G34" s="3" t="str">
        <f t="shared" si="8"/>
        <v/>
      </c>
      <c r="H34" s="3"/>
      <c r="I34" s="3"/>
      <c r="J34" s="3"/>
      <c r="K34" s="3"/>
      <c r="L34" s="4"/>
      <c r="M34" s="4"/>
      <c r="N34" s="4"/>
      <c r="O34" s="4"/>
      <c r="P34" s="4"/>
      <c r="R34" s="8"/>
      <c r="S34" s="3"/>
      <c r="T34" s="3"/>
      <c r="U34" s="1" t="s">
        <v>159</v>
      </c>
      <c r="W34" s="3">
        <v>0</v>
      </c>
      <c r="X34" s="3">
        <f t="shared" si="25"/>
        <v>0</v>
      </c>
      <c r="Y34" s="3" t="str">
        <f t="shared" si="26"/>
        <v/>
      </c>
      <c r="Z34" s="3">
        <f t="shared" si="27"/>
        <v>0</v>
      </c>
      <c r="AA34" s="3">
        <f t="shared" si="28"/>
        <v>0</v>
      </c>
      <c r="AB34" s="3">
        <f t="shared" si="29"/>
        <v>0</v>
      </c>
      <c r="AC34" s="3"/>
      <c r="AD34" s="4">
        <f>_xll.BDP(U34,"PX_LAST")</f>
        <v>63.96</v>
      </c>
      <c r="AE34" s="57">
        <f>_xll.BDP(U34,"CHG_PCT_1D")/100</f>
        <v>4.5098039999999999E-2</v>
      </c>
      <c r="AF34" s="3">
        <f t="shared" si="30"/>
        <v>0</v>
      </c>
      <c r="AG34" s="3">
        <f>EMP2호[[#This Row],[평가금액]]*EMP2호[[#This Row],[등락율]]*$A$5</f>
        <v>0</v>
      </c>
      <c r="AH34" s="3">
        <f t="shared" si="18"/>
        <v>0</v>
      </c>
      <c r="AI34" s="9">
        <f t="shared" si="31"/>
        <v>0</v>
      </c>
      <c r="AJ34" s="8">
        <v>0</v>
      </c>
      <c r="AK34" s="3">
        <f>_xll.BDP(U34,"CUR_MKT_CAP")/1000000</f>
        <v>7262.01806640625</v>
      </c>
      <c r="AL34" s="3">
        <f>_xll.BDP(U34, "INTERVAL_AVG", "MARKET_DATA_OVERRIDE=TURNOVER", "PERIODICITY_OVERRIDE=D","CALC_INTERVAL=2M")/1000000</f>
        <v>130.38067225</v>
      </c>
      <c r="AN34" s="3"/>
      <c r="AZ34" s="9"/>
      <c r="BA34" s="68"/>
      <c r="BB34" s="3"/>
      <c r="BC34" s="51"/>
      <c r="BD34" s="1" t="s">
        <v>164</v>
      </c>
      <c r="BF34" s="3">
        <v>0</v>
      </c>
      <c r="BG34" s="3">
        <f t="shared" ref="BG34" si="48">IF(BE34&lt;&gt;"",ROUND(BQ34/BM34,-1), ROUND(BQ34/(BM34*$A$5),-1))</f>
        <v>0</v>
      </c>
      <c r="BH34" s="1" t="str">
        <f t="shared" ref="BH34" si="49">IF(BI34&gt;0,"매수",IF(BI34=0,"","매도"))</f>
        <v/>
      </c>
      <c r="BI34" s="3">
        <f t="shared" ref="BI34" si="50">BG34-BF34</f>
        <v>0</v>
      </c>
      <c r="BJ34" s="3">
        <f t="shared" ref="BJ34" si="51">ABS(BI34)</f>
        <v>0</v>
      </c>
      <c r="BK34" s="3">
        <f t="shared" ref="BK34" si="52">IF(BE34&lt;&gt;"",BJ34*BM34,BJ34*BM34*$A$5)</f>
        <v>0</v>
      </c>
      <c r="BM34" s="3">
        <f>_xll.BDP(BD34,"PX_LAST")</f>
        <v>33.869999999999997</v>
      </c>
      <c r="BN34" s="57">
        <f>_xll.BDP(BD34,"CHG_PCT_1D")/100</f>
        <v>1.182383E-3</v>
      </c>
      <c r="BO34" s="3">
        <f t="shared" ref="BO34" si="53">IF(BE34&lt;&gt;"",BF34*BM34,BF34*BM34*$A$5)</f>
        <v>0</v>
      </c>
      <c r="BP34" s="3">
        <f>EMP4호[[#This Row],[평가금액(원)]]*EMP4호[[#This Row],[등락율]]</f>
        <v>0</v>
      </c>
      <c r="BQ34" s="3">
        <f t="shared" ref="BQ34" si="54">$BE$2*BS34</f>
        <v>0</v>
      </c>
      <c r="BR34" s="7">
        <f t="shared" si="16"/>
        <v>0</v>
      </c>
      <c r="BS34" s="8"/>
      <c r="BT34" s="3">
        <f>_xll.BDP(BD34,"CUR_MKT_CAP")/1000000</f>
        <v>926.344482421875</v>
      </c>
      <c r="BU34" s="3">
        <f>_xll.BDP(BD34, "INTERVAL_AVG", "MARKET_DATA_OVERRIDE=TURNOVER", "PERIODICITY_OVERRIDE=D","CALC_INTERVAL=2M")/1000000</f>
        <v>56.718261999999996</v>
      </c>
      <c r="BW34" t="s">
        <v>163</v>
      </c>
    </row>
    <row r="35" spans="1:75" x14ac:dyDescent="0.3">
      <c r="A35" s="76"/>
      <c r="B35" s="77"/>
      <c r="C35" s="2" t="s">
        <v>161</v>
      </c>
      <c r="E35" s="3"/>
      <c r="F35" s="3"/>
      <c r="G35" s="3" t="str">
        <f t="shared" si="8"/>
        <v/>
      </c>
      <c r="H35" s="3"/>
      <c r="I35" s="3"/>
      <c r="J35" s="3"/>
      <c r="K35" s="3"/>
      <c r="L35" s="4"/>
      <c r="M35" s="4"/>
      <c r="N35" s="4"/>
      <c r="O35" s="4"/>
      <c r="P35" s="4"/>
      <c r="R35" s="8"/>
      <c r="S35" s="3"/>
      <c r="T35" s="3"/>
      <c r="U35" s="1" t="s">
        <v>162</v>
      </c>
      <c r="W35" s="3">
        <v>17720</v>
      </c>
      <c r="X35" s="3">
        <f>ROUND(AH35/AD35,-1)</f>
        <v>19060</v>
      </c>
      <c r="Y35" s="3" t="str">
        <f t="shared" si="26"/>
        <v>매수</v>
      </c>
      <c r="Z35" s="3">
        <f t="shared" si="27"/>
        <v>1340</v>
      </c>
      <c r="AA35" s="3">
        <f t="shared" si="28"/>
        <v>1340</v>
      </c>
      <c r="AB35" s="3">
        <f t="shared" si="29"/>
        <v>26357.800000000003</v>
      </c>
      <c r="AC35" s="3"/>
      <c r="AD35" s="4">
        <f>_xll.BDP(U35,"PX_LAST")</f>
        <v>19.670000000000002</v>
      </c>
      <c r="AE35" s="57">
        <f>_xll.BDP(U35,"CHG_PCT_1D")/100</f>
        <v>-2.5272549999999998E-2</v>
      </c>
      <c r="AF35" s="3">
        <f t="shared" si="30"/>
        <v>348552.4</v>
      </c>
      <c r="AG35" s="3">
        <f>EMP2호[[#This Row],[평가금액]]*EMP2호[[#This Row],[등락율]]*$A$5</f>
        <v>-13330369.080753045</v>
      </c>
      <c r="AH35" s="3">
        <f t="shared" si="18"/>
        <v>375000</v>
      </c>
      <c r="AI35" s="9">
        <f t="shared" si="31"/>
        <v>2.3236826666666668E-2</v>
      </c>
      <c r="AJ35" s="8">
        <v>2.5000000000000001E-2</v>
      </c>
      <c r="AK35" s="3">
        <f>_xll.BDP(U35,"CUR_MKT_CAP")/1000000</f>
        <v>2698.72412109375</v>
      </c>
      <c r="AL35" s="3">
        <f>_xll.BDP(U35, "INTERVAL_AVG", "MARKET_DATA_OVERRIDE=TURNOVER", "PERIODICITY_OVERRIDE=D","CALC_INTERVAL=2M")/1000000</f>
        <v>134.32086924999996</v>
      </c>
      <c r="AN35" s="3"/>
      <c r="AZ35" s="9"/>
      <c r="BA35" s="68"/>
      <c r="BB35" s="3"/>
      <c r="BC35" s="51"/>
      <c r="BF35" s="3"/>
      <c r="BM35" s="3"/>
      <c r="BN35" s="57"/>
      <c r="BP35" s="3"/>
      <c r="BR35" s="7"/>
      <c r="BS35" s="8"/>
      <c r="BT35" s="3"/>
      <c r="BU35" s="3"/>
      <c r="BW35" t="s">
        <v>163</v>
      </c>
    </row>
    <row r="36" spans="1:75" x14ac:dyDescent="0.3">
      <c r="A36" s="76"/>
      <c r="B36" s="77"/>
      <c r="C36" s="2" t="s">
        <v>154</v>
      </c>
      <c r="E36" s="3"/>
      <c r="F36" s="3"/>
      <c r="G36" s="3" t="str">
        <f t="shared" si="8"/>
        <v/>
      </c>
      <c r="H36" s="3"/>
      <c r="I36" s="3"/>
      <c r="J36" s="3"/>
      <c r="K36" s="3"/>
      <c r="L36" s="4"/>
      <c r="M36" s="4"/>
      <c r="N36" s="4"/>
      <c r="O36" s="4"/>
      <c r="P36" s="4"/>
      <c r="R36" s="8"/>
      <c r="S36" s="3"/>
      <c r="T36" s="3"/>
      <c r="U36" s="1" t="s">
        <v>153</v>
      </c>
      <c r="W36" s="3">
        <v>0</v>
      </c>
      <c r="X36" s="3">
        <f t="shared" si="25"/>
        <v>0</v>
      </c>
      <c r="Y36" s="3" t="str">
        <f t="shared" si="26"/>
        <v/>
      </c>
      <c r="Z36" s="3">
        <f t="shared" si="27"/>
        <v>0</v>
      </c>
      <c r="AA36" s="3">
        <f t="shared" si="28"/>
        <v>0</v>
      </c>
      <c r="AB36" s="3">
        <f t="shared" si="29"/>
        <v>0</v>
      </c>
      <c r="AC36" s="3"/>
      <c r="AD36" s="4">
        <f>_xll.BDP(U36,"PX_LAST")</f>
        <v>106.66</v>
      </c>
      <c r="AE36" s="57">
        <f>_xll.BDP(U36,"CHG_PCT_1D")/100</f>
        <v>-1.286441E-2</v>
      </c>
      <c r="AF36" s="3">
        <f t="shared" si="30"/>
        <v>0</v>
      </c>
      <c r="AG36" s="3">
        <f>EMP2호[[#This Row],[평가금액]]*EMP2호[[#This Row],[등락율]]*$A$5</f>
        <v>0</v>
      </c>
      <c r="AH36" s="3">
        <f t="shared" si="18"/>
        <v>0</v>
      </c>
      <c r="AI36" s="9">
        <f t="shared" si="31"/>
        <v>0</v>
      </c>
      <c r="AJ36" s="8"/>
      <c r="AK36" s="3">
        <f>_xll.BDP(U36,"CUR_MKT_CAP")/1000000</f>
        <v>401.57492065429688</v>
      </c>
      <c r="AL36" s="3">
        <f>_xll.BDP(U36, "INTERVAL_AVG", "MARKET_DATA_OVERRIDE=TURNOVER", "PERIODICITY_OVERRIDE=D","CALC_INTERVAL=2M")/1000000</f>
        <v>14.444496424999995</v>
      </c>
      <c r="AN36" s="3"/>
      <c r="AZ36" s="9"/>
      <c r="BA36" s="68"/>
      <c r="BB36" s="3"/>
      <c r="BC36" s="51"/>
      <c r="BF36" s="3"/>
      <c r="BM36" s="3"/>
      <c r="BN36" s="57"/>
      <c r="BP36" s="3"/>
      <c r="BR36" s="7"/>
      <c r="BS36" s="8"/>
      <c r="BT36" s="3"/>
      <c r="BU36" s="3"/>
    </row>
    <row r="37" spans="1:75" x14ac:dyDescent="0.3">
      <c r="A37" s="76"/>
      <c r="B37" s="76" t="s">
        <v>27</v>
      </c>
      <c r="C37" s="2" t="s">
        <v>104</v>
      </c>
      <c r="E37" s="3"/>
      <c r="F37" s="3"/>
      <c r="G37" s="3" t="str">
        <f t="shared" si="8"/>
        <v/>
      </c>
      <c r="H37" s="3"/>
      <c r="I37" s="3"/>
      <c r="J37" s="3"/>
      <c r="K37" s="3"/>
      <c r="L37" s="4"/>
      <c r="M37" s="4"/>
      <c r="N37" s="4"/>
      <c r="O37" s="4"/>
      <c r="P37" s="4"/>
      <c r="R37" s="8"/>
      <c r="S37" s="3"/>
      <c r="T37" s="3"/>
      <c r="W37" s="3"/>
      <c r="AE37" s="4"/>
      <c r="AG37" s="3"/>
      <c r="AJ37" s="8"/>
      <c r="AK37" s="3"/>
      <c r="AL37" s="3"/>
      <c r="AM37" s="1" t="s">
        <v>105</v>
      </c>
      <c r="AN37" s="3">
        <v>0</v>
      </c>
      <c r="AO37" s="3">
        <f>ROUND(AY37/AU37,-1)</f>
        <v>0</v>
      </c>
      <c r="AP37" s="3" t="str">
        <f>IF(AQ37&gt;0,"매수",IF(AQ37=0,"","매도"))</f>
        <v/>
      </c>
      <c r="AQ37" s="3">
        <f>AO37-AN37</f>
        <v>0</v>
      </c>
      <c r="AR37" s="3">
        <f>ABS(AQ37)</f>
        <v>0</v>
      </c>
      <c r="AS37" s="3">
        <f>AR37*AU37</f>
        <v>0</v>
      </c>
      <c r="AT37" s="3"/>
      <c r="AU37" s="4">
        <f>_xll.BDP(AM37,"PX_LAST")</f>
        <v>135.41</v>
      </c>
      <c r="AV37" s="57">
        <f>_xll.BDP(AM37,"CHG_PCT_1D")/100</f>
        <v>-1.073933E-2</v>
      </c>
      <c r="AW37" s="3">
        <f>AN37*AU37</f>
        <v>0</v>
      </c>
      <c r="AX37" s="3">
        <f>EMP3호[[#This Row],[평가금액]]*EMP3호[[#This Row],[등락율]]</f>
        <v>0</v>
      </c>
      <c r="AY37" s="3">
        <f>$AN$2*BA37</f>
        <v>0</v>
      </c>
      <c r="AZ37" s="9">
        <f t="shared" si="12"/>
        <v>0</v>
      </c>
      <c r="BA37" s="68"/>
      <c r="BB37" s="3">
        <f>_xll.BDP(AM37,"CUR_MKT_CAP")/1000000</f>
        <v>73744.2890625</v>
      </c>
      <c r="BC37" s="51">
        <f>_xll.BDP(AM37, "INTERVAL_AVG", "MARKET_DATA_OVERRIDE=TURNOVER", "PERIODICITY_OVERRIDE=D","CALC_INTERVAL=2M")/1000000</f>
        <v>362.19780250000002</v>
      </c>
      <c r="BF37" s="3"/>
      <c r="BM37" s="3"/>
      <c r="BN37" s="4"/>
      <c r="BP37" s="3"/>
      <c r="BR37" s="7"/>
      <c r="BS37" s="8"/>
      <c r="BT37" s="3"/>
      <c r="BU37" s="3"/>
    </row>
    <row r="38" spans="1:75" x14ac:dyDescent="0.3">
      <c r="A38" s="76"/>
      <c r="B38" s="76"/>
      <c r="C38" s="2" t="s">
        <v>113</v>
      </c>
      <c r="E38" s="3"/>
      <c r="F38" s="3"/>
      <c r="G38" s="3" t="str">
        <f t="shared" si="8"/>
        <v/>
      </c>
      <c r="H38" s="3"/>
      <c r="I38" s="3"/>
      <c r="J38" s="3"/>
      <c r="K38" s="3"/>
      <c r="L38" s="4"/>
      <c r="M38" s="4"/>
      <c r="N38" s="4"/>
      <c r="O38" s="4"/>
      <c r="P38" s="4"/>
      <c r="R38" s="8"/>
      <c r="S38" s="3"/>
      <c r="T38" s="3"/>
      <c r="W38" s="3"/>
      <c r="AE38" s="4"/>
      <c r="AG38" s="3"/>
      <c r="AJ38" s="8"/>
      <c r="AK38" s="3"/>
      <c r="AL38" s="3"/>
      <c r="AM38" s="1" t="s">
        <v>118</v>
      </c>
      <c r="AN38" s="3">
        <v>0</v>
      </c>
      <c r="AO38" s="3">
        <f>ROUND(AY38/AU38,-1)</f>
        <v>0</v>
      </c>
      <c r="AP38" s="3" t="str">
        <f>IF(AQ38&gt;0,"매수",IF(AQ38=0,"","매도"))</f>
        <v/>
      </c>
      <c r="AQ38" s="3">
        <f>AO38-AN38</f>
        <v>0</v>
      </c>
      <c r="AR38" s="3">
        <f>ABS(AQ38)</f>
        <v>0</v>
      </c>
      <c r="AS38" s="3">
        <f>AR38*AU38</f>
        <v>0</v>
      </c>
      <c r="AT38" s="3"/>
      <c r="AU38" s="4">
        <f>_xll.BDP(AM38,"PX_LAST")</f>
        <v>230.2</v>
      </c>
      <c r="AV38" s="57">
        <f>_xll.BDP(AM38,"CHG_PCT_1D")/100</f>
        <v>1.0624290000000002E-2</v>
      </c>
      <c r="AW38" s="3">
        <f>AN38*AU38</f>
        <v>0</v>
      </c>
      <c r="AX38" s="3">
        <f>EMP3호[[#This Row],[평가금액]]*EMP3호[[#This Row],[등락율]]</f>
        <v>0</v>
      </c>
      <c r="AY38" s="3">
        <f t="shared" ref="AY38:AY46" si="55">$AN$2*BA38</f>
        <v>0</v>
      </c>
      <c r="AZ38" s="9">
        <f t="shared" si="12"/>
        <v>0</v>
      </c>
      <c r="BA38" s="68"/>
      <c r="BB38" s="3">
        <f>_xll.BDP(AM38,"CUR_MKT_CAP")/1000000</f>
        <v>48537.66796875</v>
      </c>
      <c r="BC38" s="51">
        <f>_xll.BDP(AM38, "INTERVAL_AVG", "MARKET_DATA_OVERRIDE=TURNOVER", "PERIODICITY_OVERRIDE=D","CALC_INTERVAL=2M")/1000000</f>
        <v>275.51386500000007</v>
      </c>
      <c r="BF38" s="3"/>
      <c r="BM38" s="3"/>
      <c r="BN38" s="4"/>
      <c r="BP38" s="3"/>
      <c r="BR38" s="7"/>
      <c r="BS38" s="8"/>
      <c r="BT38" s="3"/>
      <c r="BU38" s="3"/>
    </row>
    <row r="39" spans="1:75" x14ac:dyDescent="0.3">
      <c r="A39" s="76"/>
      <c r="B39" s="76"/>
      <c r="C39" s="2" t="s">
        <v>114</v>
      </c>
      <c r="E39" s="3"/>
      <c r="F39" s="3"/>
      <c r="G39" s="3" t="str">
        <f t="shared" si="8"/>
        <v/>
      </c>
      <c r="H39" s="3"/>
      <c r="I39" s="3"/>
      <c r="J39" s="3"/>
      <c r="K39" s="3"/>
      <c r="L39" s="4"/>
      <c r="M39" s="4"/>
      <c r="N39" s="4"/>
      <c r="O39" s="4"/>
      <c r="P39" s="4"/>
      <c r="R39" s="8"/>
      <c r="S39" s="3"/>
      <c r="T39" s="3"/>
      <c r="W39" s="3"/>
      <c r="AE39" s="4"/>
      <c r="AG39" s="3"/>
      <c r="AJ39" s="8"/>
      <c r="AK39" s="3"/>
      <c r="AL39" s="3"/>
      <c r="AM39" s="1" t="s">
        <v>119</v>
      </c>
      <c r="AN39" s="3">
        <v>0</v>
      </c>
      <c r="AO39" s="3">
        <f t="shared" ref="AO39:AO46" si="56">ROUND(AY39/AU39,-1)</f>
        <v>0</v>
      </c>
      <c r="AP39" s="3" t="str">
        <f t="shared" ref="AP39:AP46" si="57">IF(AQ39&gt;0,"매수",IF(AQ39=0,"","매도"))</f>
        <v/>
      </c>
      <c r="AQ39" s="3">
        <f t="shared" ref="AQ39:AQ46" si="58">AO39-AN39</f>
        <v>0</v>
      </c>
      <c r="AR39" s="3">
        <f t="shared" ref="AR39:AR46" si="59">ABS(AQ39)</f>
        <v>0</v>
      </c>
      <c r="AS39" s="3">
        <f t="shared" ref="AS39:AS46" si="60">AR39*AU39</f>
        <v>0</v>
      </c>
      <c r="AT39" s="3"/>
      <c r="AU39" s="4">
        <f>_xll.BDP(AM39,"PX_LAST")</f>
        <v>316.52999999999997</v>
      </c>
      <c r="AV39" s="57">
        <f>_xll.BDP(AM39,"CHG_PCT_1D")/100</f>
        <v>-3.5263639999999999E-2</v>
      </c>
      <c r="AW39" s="3">
        <f t="shared" ref="AW39:AW46" si="61">AN39*AU39</f>
        <v>0</v>
      </c>
      <c r="AX39" s="3">
        <f>EMP3호[[#This Row],[평가금액]]*EMP3호[[#This Row],[등락율]]</f>
        <v>0</v>
      </c>
      <c r="AY39" s="3">
        <f t="shared" si="55"/>
        <v>0</v>
      </c>
      <c r="AZ39" s="9">
        <f t="shared" si="12"/>
        <v>0</v>
      </c>
      <c r="BA39" s="68"/>
      <c r="BB39" s="3">
        <f>_xll.BDP(AM39,"CUR_MKT_CAP")/1000000</f>
        <v>27110.794921875</v>
      </c>
      <c r="BC39" s="51">
        <f>_xll.BDP(AM39, "INTERVAL_AVG", "MARKET_DATA_OVERRIDE=TURNOVER", "PERIODICITY_OVERRIDE=D","CALC_INTERVAL=2M")/1000000</f>
        <v>505.814595</v>
      </c>
      <c r="BF39" s="3"/>
      <c r="BM39" s="3"/>
      <c r="BN39" s="4"/>
      <c r="BP39" s="3"/>
      <c r="BR39" s="7"/>
      <c r="BS39" s="8"/>
      <c r="BT39" s="3"/>
      <c r="BU39" s="3"/>
    </row>
    <row r="40" spans="1:75" x14ac:dyDescent="0.3">
      <c r="A40" s="76"/>
      <c r="B40" s="76"/>
      <c r="C40" s="2" t="s">
        <v>115</v>
      </c>
      <c r="E40" s="3"/>
      <c r="F40" s="3"/>
      <c r="G40" s="3" t="str">
        <f t="shared" si="8"/>
        <v/>
      </c>
      <c r="H40" s="3"/>
      <c r="I40" s="3"/>
      <c r="J40" s="3"/>
      <c r="K40" s="3"/>
      <c r="L40" s="4"/>
      <c r="M40" s="4"/>
      <c r="N40" s="4"/>
      <c r="O40" s="4"/>
      <c r="P40" s="4"/>
      <c r="R40" s="8"/>
      <c r="S40" s="3"/>
      <c r="T40" s="3"/>
      <c r="W40" s="3"/>
      <c r="AE40" s="4"/>
      <c r="AG40" s="3"/>
      <c r="AJ40" s="8"/>
      <c r="AK40" s="3"/>
      <c r="AL40" s="3"/>
      <c r="AM40" s="1" t="s">
        <v>120</v>
      </c>
      <c r="AN40" s="3">
        <v>0</v>
      </c>
      <c r="AO40" s="3">
        <f t="shared" si="56"/>
        <v>0</v>
      </c>
      <c r="AP40" s="3" t="str">
        <f t="shared" si="57"/>
        <v/>
      </c>
      <c r="AQ40" s="3">
        <f t="shared" si="58"/>
        <v>0</v>
      </c>
      <c r="AR40" s="3">
        <f t="shared" si="59"/>
        <v>0</v>
      </c>
      <c r="AS40" s="3">
        <f t="shared" si="60"/>
        <v>0</v>
      </c>
      <c r="AT40" s="3"/>
      <c r="AU40" s="4">
        <f>_xll.BDP(AM40,"PX_LAST")</f>
        <v>218.43</v>
      </c>
      <c r="AV40" s="57">
        <f>_xll.BDP(AM40,"CHG_PCT_1D")/100</f>
        <v>-2.0103260000000002E-3</v>
      </c>
      <c r="AW40" s="3">
        <f t="shared" si="61"/>
        <v>0</v>
      </c>
      <c r="AX40" s="3">
        <f>EMP3호[[#This Row],[평가금액]]*EMP3호[[#This Row],[등락율]]</f>
        <v>0</v>
      </c>
      <c r="AY40" s="3">
        <f t="shared" si="55"/>
        <v>0</v>
      </c>
      <c r="AZ40" s="9">
        <f t="shared" si="12"/>
        <v>0</v>
      </c>
      <c r="BA40" s="68"/>
      <c r="BB40" s="3">
        <f>_xll.BDP(AM40,"CUR_MKT_CAP")/1000000</f>
        <v>45924.90625</v>
      </c>
      <c r="BC40" s="51">
        <f>_xll.BDP(AM40, "INTERVAL_AVG", "MARKET_DATA_OVERRIDE=TURNOVER", "PERIODICITY_OVERRIDE=D","CALC_INTERVAL=2M")/1000000</f>
        <v>461.52924999999993</v>
      </c>
      <c r="BF40" s="3"/>
      <c r="BM40" s="3"/>
      <c r="BN40" s="4"/>
      <c r="BP40" s="3"/>
      <c r="BR40" s="7"/>
      <c r="BS40" s="8"/>
      <c r="BT40" s="3"/>
      <c r="BU40" s="3"/>
    </row>
    <row r="41" spans="1:75" x14ac:dyDescent="0.3">
      <c r="A41" s="76"/>
      <c r="B41" s="76"/>
      <c r="C41" s="2" t="s">
        <v>116</v>
      </c>
      <c r="E41" s="3"/>
      <c r="F41" s="3"/>
      <c r="G41" s="3" t="str">
        <f t="shared" si="8"/>
        <v/>
      </c>
      <c r="H41" s="3"/>
      <c r="I41" s="3"/>
      <c r="J41" s="3"/>
      <c r="K41" s="3"/>
      <c r="L41" s="4"/>
      <c r="M41" s="4"/>
      <c r="N41" s="4"/>
      <c r="O41" s="4"/>
      <c r="P41" s="4"/>
      <c r="R41" s="8"/>
      <c r="S41" s="3"/>
      <c r="T41" s="3"/>
      <c r="W41" s="3"/>
      <c r="AE41" s="4"/>
      <c r="AG41" s="3"/>
      <c r="AJ41" s="8"/>
      <c r="AK41" s="3"/>
      <c r="AL41" s="3"/>
      <c r="AM41" s="1" t="s">
        <v>121</v>
      </c>
      <c r="AN41" s="3">
        <v>0</v>
      </c>
      <c r="AO41" s="3">
        <f t="shared" si="56"/>
        <v>0</v>
      </c>
      <c r="AP41" s="3" t="str">
        <f t="shared" si="57"/>
        <v/>
      </c>
      <c r="AQ41" s="3">
        <f t="shared" si="58"/>
        <v>0</v>
      </c>
      <c r="AR41" s="3">
        <f t="shared" si="59"/>
        <v>0</v>
      </c>
      <c r="AS41" s="3">
        <f t="shared" si="60"/>
        <v>0</v>
      </c>
      <c r="AT41" s="3"/>
      <c r="AU41" s="4">
        <f>_xll.BDP(AM41,"PX_LAST")</f>
        <v>76.73</v>
      </c>
      <c r="AV41" s="57">
        <f>_xll.BDP(AM41,"CHG_PCT_1D")/100</f>
        <v>1.9803299999999999E-2</v>
      </c>
      <c r="AW41" s="3">
        <f t="shared" si="61"/>
        <v>0</v>
      </c>
      <c r="AX41" s="3">
        <f>EMP3호[[#This Row],[평가금액]]*EMP3호[[#This Row],[등락율]]</f>
        <v>0</v>
      </c>
      <c r="AY41" s="3">
        <f t="shared" si="55"/>
        <v>0</v>
      </c>
      <c r="AZ41" s="9">
        <f t="shared" si="12"/>
        <v>0</v>
      </c>
      <c r="BA41" s="68"/>
      <c r="BB41" s="3">
        <f>_xll.BDP(AM41,"CUR_MKT_CAP")/1000000</f>
        <v>7187.29931640625</v>
      </c>
      <c r="BC41" s="51">
        <f>_xll.BDP(AM41, "INTERVAL_AVG", "MARKET_DATA_OVERRIDE=TURNOVER", "PERIODICITY_OVERRIDE=D","CALC_INTERVAL=2M")/1000000</f>
        <v>201.39368499999995</v>
      </c>
      <c r="BF41" s="3"/>
      <c r="BM41" s="3"/>
      <c r="BN41" s="4"/>
      <c r="BP41" s="3"/>
      <c r="BR41" s="7"/>
      <c r="BS41" s="8"/>
      <c r="BT41" s="3"/>
      <c r="BU41" s="3"/>
    </row>
    <row r="42" spans="1:75" x14ac:dyDescent="0.3">
      <c r="A42" s="76"/>
      <c r="B42" s="76"/>
      <c r="C42" s="2" t="s">
        <v>117</v>
      </c>
      <c r="E42" s="3"/>
      <c r="F42" s="3"/>
      <c r="G42" s="3" t="str">
        <f t="shared" si="8"/>
        <v/>
      </c>
      <c r="H42" s="3"/>
      <c r="I42" s="3"/>
      <c r="J42" s="3"/>
      <c r="K42" s="3"/>
      <c r="L42" s="4"/>
      <c r="M42" s="4"/>
      <c r="N42" s="4"/>
      <c r="O42" s="4"/>
      <c r="P42" s="4"/>
      <c r="R42" s="8"/>
      <c r="S42" s="3"/>
      <c r="T42" s="3"/>
      <c r="W42" s="3"/>
      <c r="AE42" s="4"/>
      <c r="AG42" s="3"/>
      <c r="AJ42" s="8"/>
      <c r="AK42" s="3"/>
      <c r="AL42" s="3"/>
      <c r="AM42" s="1" t="s">
        <v>122</v>
      </c>
      <c r="AN42" s="3">
        <v>0</v>
      </c>
      <c r="AO42" s="3">
        <f t="shared" si="56"/>
        <v>0</v>
      </c>
      <c r="AP42" s="3" t="str">
        <f t="shared" si="57"/>
        <v/>
      </c>
      <c r="AQ42" s="3">
        <f t="shared" si="58"/>
        <v>0</v>
      </c>
      <c r="AR42" s="3">
        <f t="shared" si="59"/>
        <v>0</v>
      </c>
      <c r="AS42" s="3">
        <f t="shared" si="60"/>
        <v>0</v>
      </c>
      <c r="AT42" s="3"/>
      <c r="AU42" s="4">
        <f>_xll.BDP(AM42,"PX_LAST")</f>
        <v>159.47999999999999</v>
      </c>
      <c r="AV42" s="57">
        <f>_xll.BDP(AM42,"CHG_PCT_1D")/100</f>
        <v>7.8361979999999991E-3</v>
      </c>
      <c r="AW42" s="3">
        <f t="shared" si="61"/>
        <v>0</v>
      </c>
      <c r="AX42" s="3">
        <f>EMP3호[[#This Row],[평가금액]]*EMP3호[[#This Row],[등락율]]</f>
        <v>0</v>
      </c>
      <c r="AY42" s="3">
        <f t="shared" si="55"/>
        <v>0</v>
      </c>
      <c r="AZ42" s="9">
        <f t="shared" si="12"/>
        <v>0</v>
      </c>
      <c r="BA42" s="68"/>
      <c r="BB42" s="3">
        <f>_xll.BDP(AM42,"CUR_MKT_CAP")/1000000</f>
        <v>79769.34375</v>
      </c>
      <c r="BC42" s="51">
        <f>_xll.BDP(AM42, "INTERVAL_AVG", "MARKET_DATA_OVERRIDE=TURNOVER", "PERIODICITY_OVERRIDE=D","CALC_INTERVAL=2M")/1000000</f>
        <v>204.87931249999997</v>
      </c>
      <c r="BF42" s="3"/>
      <c r="BM42" s="3"/>
      <c r="BN42" s="4"/>
      <c r="BP42" s="3"/>
      <c r="BR42" s="7"/>
      <c r="BS42" s="8"/>
      <c r="BT42" s="3"/>
      <c r="BU42" s="3"/>
      <c r="BW42" t="s">
        <v>186</v>
      </c>
    </row>
    <row r="43" spans="1:75" x14ac:dyDescent="0.3">
      <c r="A43" s="76"/>
      <c r="B43" s="76" t="s">
        <v>51</v>
      </c>
      <c r="C43" s="2" t="s">
        <v>52</v>
      </c>
      <c r="D43" s="1" t="s">
        <v>54</v>
      </c>
      <c r="E43" s="3">
        <v>1860</v>
      </c>
      <c r="F43" s="3">
        <f>ROUND(P43/L43,-1)</f>
        <v>1820</v>
      </c>
      <c r="G43" s="3" t="str">
        <f t="shared" si="8"/>
        <v>매도</v>
      </c>
      <c r="H43" s="3">
        <f t="shared" si="9"/>
        <v>-40</v>
      </c>
      <c r="I43" s="3">
        <f t="shared" si="10"/>
        <v>40</v>
      </c>
      <c r="J43" s="3">
        <f>I43*L43</f>
        <v>4174.8</v>
      </c>
      <c r="K43" s="3" t="s">
        <v>273</v>
      </c>
      <c r="L43" s="4">
        <f>_xll.BDP(D43,"PX_LAST")</f>
        <v>104.37</v>
      </c>
      <c r="M43" s="57">
        <f>_xll.BDP(D43,"CHG_PCT_1D")/100</f>
        <v>1.310425E-2</v>
      </c>
      <c r="N43" s="3">
        <f>E43*L43</f>
        <v>194128.2</v>
      </c>
      <c r="O43" s="3">
        <f>EMP1호[[#This Row],[평가금액]]*EMP1호[[#This Row],[등락율]]</f>
        <v>2543.9044648500003</v>
      </c>
      <c r="P43" s="3">
        <f t="shared" si="11"/>
        <v>190000</v>
      </c>
      <c r="Q43" s="9">
        <f t="shared" ref="Q43:Q44" si="62">N43/$E$2</f>
        <v>1.9412820000000001E-2</v>
      </c>
      <c r="R43" s="8">
        <v>1.9E-2</v>
      </c>
      <c r="S43" s="3">
        <f>_xll.BDP(D43,"CUR_MKT_CAP")/1000000</f>
        <v>77588.65625</v>
      </c>
      <c r="T43" s="3">
        <f>_xll.BDP(D43, "INTERVAL_AVG", "MARKET_DATA_OVERRIDE=TURNOVER", "PERIODICITY_OVERRIDE=D","CALC_INTERVAL=2M")/1000000</f>
        <v>1514.9391950000004</v>
      </c>
      <c r="W43" s="3"/>
      <c r="AE43" s="4"/>
      <c r="AG43" s="3"/>
      <c r="AJ43" s="8"/>
      <c r="AK43" s="3"/>
      <c r="AL43" s="3"/>
      <c r="AM43" s="1" t="s">
        <v>107</v>
      </c>
      <c r="AN43" s="3">
        <v>7290</v>
      </c>
      <c r="AO43" s="3">
        <f t="shared" si="56"/>
        <v>0</v>
      </c>
      <c r="AP43" s="3" t="str">
        <f t="shared" si="57"/>
        <v>매도</v>
      </c>
      <c r="AQ43" s="3">
        <f t="shared" si="58"/>
        <v>-7290</v>
      </c>
      <c r="AR43" s="3">
        <f t="shared" si="59"/>
        <v>7290</v>
      </c>
      <c r="AS43" s="3">
        <f t="shared" si="60"/>
        <v>516204.9</v>
      </c>
      <c r="AT43" s="3" t="s">
        <v>275</v>
      </c>
      <c r="AU43" s="4">
        <f>_xll.BDP(AM43,"PX_LAST")</f>
        <v>70.81</v>
      </c>
      <c r="AV43" s="57">
        <f>_xll.BDP(AM43,"CHG_PCT_1D")/100</f>
        <v>6.3956789999999996E-3</v>
      </c>
      <c r="AW43" s="3">
        <f t="shared" si="61"/>
        <v>516204.9</v>
      </c>
      <c r="AX43" s="3">
        <f>EMP3호[[#This Row],[평가금액]]*EMP3호[[#This Row],[등락율]]</f>
        <v>3301.4808386270997</v>
      </c>
      <c r="AY43" s="3">
        <f t="shared" si="55"/>
        <v>0</v>
      </c>
      <c r="AZ43" s="9">
        <f t="shared" si="12"/>
        <v>5.1620490000000005E-2</v>
      </c>
      <c r="BA43" s="68"/>
      <c r="BB43" s="3">
        <f>_xll.BDP(AM43,"CUR_MKT_CAP")/1000000</f>
        <v>229419.96875</v>
      </c>
      <c r="BC43" s="51">
        <f>_xll.BDP(AM43, "INTERVAL_AVG", "MARKET_DATA_OVERRIDE=TURNOVER", "PERIODICITY_OVERRIDE=D","CALC_INTERVAL=2M")/1000000</f>
        <v>811.6469800000001</v>
      </c>
      <c r="BD43" s="1" t="s">
        <v>185</v>
      </c>
      <c r="BF43" s="3">
        <v>4140</v>
      </c>
      <c r="BG43" s="3">
        <f t="shared" ref="BG43:BG44" si="63">IF(BE43&lt;&gt;"",ROUND(BQ43/BM43,-1), ROUND(BQ43/(BM43*$A$5),-1))</f>
        <v>0</v>
      </c>
      <c r="BH43" s="1" t="str">
        <f t="shared" ref="BH43:BH44" si="64">IF(BI43&gt;0,"매수",IF(BI43=0,"","매도"))</f>
        <v>매도</v>
      </c>
      <c r="BI43" s="3">
        <f t="shared" ref="BI43:BI44" si="65">BG43-BF43</f>
        <v>-4140</v>
      </c>
      <c r="BJ43" s="3">
        <f t="shared" ref="BJ43:BJ44" si="66">ABS(BI43)</f>
        <v>4140</v>
      </c>
      <c r="BK43" s="3">
        <f t="shared" ref="BK43:BK44" si="67">IF(BE43&lt;&gt;"",BJ43*BM43,BJ43*BM43*$A$5)</f>
        <v>609590532.60000002</v>
      </c>
      <c r="BM43" s="3">
        <f>_xll.BDP(BD43,"PX_LAST")</f>
        <v>97.3</v>
      </c>
      <c r="BN43" s="7">
        <f>_xll.BDP(BD43,"CHG_PCT_1D")/100</f>
        <v>1.2697750000000001E-2</v>
      </c>
      <c r="BO43" s="3">
        <f t="shared" ref="BO43:BO44" si="68">IF(BE43&lt;&gt;"",BF43*BM43,BF43*BM43*$A$5)</f>
        <v>609590532.60000002</v>
      </c>
      <c r="BP43" s="3">
        <f>EMP4호[[#This Row],[평가금액(원)]]*EMP4호[[#This Row],[등락율]]</f>
        <v>7740428.1853216505</v>
      </c>
      <c r="BQ43" s="3">
        <f t="shared" ref="BQ43:BQ44" si="69">$BE$2*BS43</f>
        <v>0</v>
      </c>
      <c r="BR43" s="7">
        <f t="shared" si="16"/>
        <v>3.047952663E-2</v>
      </c>
      <c r="BS43" s="8"/>
      <c r="BT43" s="3">
        <f>_xll.BDP(BD43,"CUR_MKT_CAP")/1000000</f>
        <v>187886.3125</v>
      </c>
      <c r="BU43" s="3">
        <f>_xll.BDP(BD43, "INTERVAL_AVG", "MARKET_DATA_OVERRIDE=TURNOVER", "PERIODICITY_OVERRIDE=D","CALC_INTERVAL=2M")/1000000</f>
        <v>974.58620499999995</v>
      </c>
    </row>
    <row r="44" spans="1:75" x14ac:dyDescent="0.3">
      <c r="A44" s="76"/>
      <c r="B44" s="76"/>
      <c r="C44" s="2" t="s">
        <v>53</v>
      </c>
      <c r="D44" s="1" t="s">
        <v>55</v>
      </c>
      <c r="E44" s="3">
        <v>7950</v>
      </c>
      <c r="F44" s="3">
        <f>ROUND(P44/L44,-1)</f>
        <v>7910</v>
      </c>
      <c r="G44" s="3" t="str">
        <f t="shared" si="8"/>
        <v>매도</v>
      </c>
      <c r="H44" s="3">
        <f t="shared" si="9"/>
        <v>-40</v>
      </c>
      <c r="I44" s="3">
        <f t="shared" si="10"/>
        <v>40</v>
      </c>
      <c r="J44" s="3">
        <f>I44*L44</f>
        <v>2628</v>
      </c>
      <c r="K44" s="3" t="s">
        <v>273</v>
      </c>
      <c r="L44" s="4">
        <f>_xll.BDP(D44,"PX_LAST")</f>
        <v>65.7</v>
      </c>
      <c r="M44" s="57">
        <f>_xll.BDP(D44,"CHG_PCT_1D")/100</f>
        <v>-1.173285E-2</v>
      </c>
      <c r="N44" s="3">
        <f>E44*L44</f>
        <v>522315</v>
      </c>
      <c r="O44" s="3">
        <f>EMP1호[[#This Row],[평가금액]]*EMP1호[[#This Row],[등락율]]</f>
        <v>-6128.2435477499994</v>
      </c>
      <c r="P44" s="3">
        <f t="shared" si="11"/>
        <v>520000</v>
      </c>
      <c r="Q44" s="9">
        <f t="shared" si="62"/>
        <v>5.22315E-2</v>
      </c>
      <c r="R44" s="8">
        <v>5.1999999999999998E-2</v>
      </c>
      <c r="S44" s="3">
        <f>_xll.BDP(D44,"CUR_MKT_CAP")/1000000</f>
        <v>29091.958984375</v>
      </c>
      <c r="T44" s="3">
        <f>_xll.BDP(D44, "INTERVAL_AVG", "MARKET_DATA_OVERRIDE=TURNOVER", "PERIODICITY_OVERRIDE=D","CALC_INTERVAL=2M")/1000000</f>
        <v>2107.1813175000002</v>
      </c>
      <c r="W44" s="3"/>
      <c r="AE44" s="4"/>
      <c r="AG44" s="3"/>
      <c r="AJ44" s="8"/>
      <c r="AK44" s="3"/>
      <c r="AL44" s="3"/>
      <c r="AM44" s="1" t="s">
        <v>106</v>
      </c>
      <c r="AN44" s="3">
        <v>13740</v>
      </c>
      <c r="AO44" s="3">
        <f t="shared" si="56"/>
        <v>0</v>
      </c>
      <c r="AP44" s="3" t="str">
        <f t="shared" si="57"/>
        <v>매도</v>
      </c>
      <c r="AQ44" s="3">
        <f t="shared" si="58"/>
        <v>-13740</v>
      </c>
      <c r="AR44" s="3">
        <f t="shared" si="59"/>
        <v>13740</v>
      </c>
      <c r="AS44" s="3">
        <f t="shared" si="60"/>
        <v>811209.6</v>
      </c>
      <c r="AT44" s="3" t="s">
        <v>275</v>
      </c>
      <c r="AU44" s="4">
        <f>_xll.BDP(AM44,"PX_LAST")</f>
        <v>59.04</v>
      </c>
      <c r="AV44" s="57">
        <f>_xll.BDP(AM44,"CHG_PCT_1D")/100</f>
        <v>-3.0395139999999997E-3</v>
      </c>
      <c r="AW44" s="3">
        <f t="shared" si="61"/>
        <v>811209.6</v>
      </c>
      <c r="AX44" s="3">
        <f>EMP3호[[#This Row],[평가금액]]*EMP3호[[#This Row],[등락율]]</f>
        <v>-2465.6829361343998</v>
      </c>
      <c r="AY44" s="3">
        <f t="shared" si="55"/>
        <v>0</v>
      </c>
      <c r="AZ44" s="9">
        <f t="shared" si="12"/>
        <v>8.1120959999999992E-2</v>
      </c>
      <c r="BA44" s="68"/>
      <c r="BB44" s="3">
        <f>_xll.BDP(AM44,"CUR_MKT_CAP")/1000000</f>
        <v>121214.90625</v>
      </c>
      <c r="BC44" s="51">
        <f>_xll.BDP(AM44, "INTERVAL_AVG", "MARKET_DATA_OVERRIDE=TURNOVER", "PERIODICITY_OVERRIDE=D","CALC_INTERVAL=2M")/1000000</f>
        <v>520.71613749999995</v>
      </c>
      <c r="BD44" s="1" t="s">
        <v>187</v>
      </c>
      <c r="BF44" s="3">
        <v>7530</v>
      </c>
      <c r="BG44" s="3">
        <f t="shared" si="63"/>
        <v>0</v>
      </c>
      <c r="BH44" s="1" t="str">
        <f t="shared" si="64"/>
        <v>매도</v>
      </c>
      <c r="BI44" s="3">
        <f t="shared" si="65"/>
        <v>-7530</v>
      </c>
      <c r="BJ44" s="3">
        <f t="shared" si="66"/>
        <v>7530</v>
      </c>
      <c r="BK44" s="3">
        <f t="shared" si="67"/>
        <v>909788696.16000009</v>
      </c>
      <c r="BM44" s="3">
        <f>_xll.BDP(BD44,"PX_LAST")</f>
        <v>79.84</v>
      </c>
      <c r="BN44" s="7">
        <f>_xll.BDP(BD44,"CHG_PCT_1D")/100</f>
        <v>-9.7978419999999993E-3</v>
      </c>
      <c r="BO44" s="3">
        <f t="shared" si="68"/>
        <v>909788696.16000009</v>
      </c>
      <c r="BP44" s="3">
        <f>EMP4호[[#This Row],[평가금액(원)]]*EMP4호[[#This Row],[등락율]]</f>
        <v>-8913965.8983616866</v>
      </c>
      <c r="BQ44" s="3">
        <f t="shared" si="69"/>
        <v>0</v>
      </c>
      <c r="BR44" s="7">
        <f t="shared" si="16"/>
        <v>4.5489434808000002E-2</v>
      </c>
      <c r="BS44" s="8"/>
      <c r="BT44" s="3">
        <f>_xll.BDP(BD44,"CUR_MKT_CAP")/1000000</f>
        <v>154586.203125</v>
      </c>
      <c r="BU44" s="3">
        <f>_xll.BDP(BD44, "INTERVAL_AVG", "MARKET_DATA_OVERRIDE=TURNOVER", "PERIODICITY_OVERRIDE=D","CALC_INTERVAL=2M")/1000000</f>
        <v>1166.0860200000002</v>
      </c>
    </row>
    <row r="45" spans="1:75" x14ac:dyDescent="0.3">
      <c r="A45" s="76"/>
      <c r="B45" s="76"/>
      <c r="C45" s="2" t="s">
        <v>60</v>
      </c>
      <c r="E45" s="3"/>
      <c r="F45" s="3"/>
      <c r="G45" s="3" t="str">
        <f t="shared" si="8"/>
        <v/>
      </c>
      <c r="H45" s="3"/>
      <c r="I45" s="3"/>
      <c r="J45" s="3"/>
      <c r="K45" s="3"/>
      <c r="L45" s="4"/>
      <c r="M45" s="4"/>
      <c r="N45" s="4"/>
      <c r="O45" s="4"/>
      <c r="P45" s="4"/>
      <c r="R45" s="8"/>
      <c r="S45" s="3"/>
      <c r="T45" s="3"/>
      <c r="W45" s="3"/>
      <c r="AE45" s="4"/>
      <c r="AG45" s="3"/>
      <c r="AJ45" s="8"/>
      <c r="AK45" s="3"/>
      <c r="AL45" s="3"/>
      <c r="AM45" s="1" t="s">
        <v>103</v>
      </c>
      <c r="AN45" s="3">
        <v>8270</v>
      </c>
      <c r="AO45" s="3">
        <f t="shared" si="56"/>
        <v>0</v>
      </c>
      <c r="AP45" s="3" t="str">
        <f t="shared" si="57"/>
        <v>매도</v>
      </c>
      <c r="AQ45" s="3">
        <f t="shared" si="58"/>
        <v>-8270</v>
      </c>
      <c r="AR45" s="3">
        <f t="shared" si="59"/>
        <v>8270</v>
      </c>
      <c r="AS45" s="3">
        <f t="shared" si="60"/>
        <v>925909.2</v>
      </c>
      <c r="AT45" s="3" t="s">
        <v>275</v>
      </c>
      <c r="AU45" s="4">
        <f>_xll.BDP(AM45,"PX_LAST")</f>
        <v>111.96</v>
      </c>
      <c r="AV45" s="57">
        <f>_xll.BDP(AM45,"CHG_PCT_1D")/100</f>
        <v>-9.5541399999999992E-3</v>
      </c>
      <c r="AW45" s="3">
        <f t="shared" si="61"/>
        <v>925909.2</v>
      </c>
      <c r="AX45" s="3">
        <f>EMP3호[[#This Row],[평가금액]]*EMP3호[[#This Row],[등락율]]</f>
        <v>-8846.2661240879988</v>
      </c>
      <c r="AY45" s="3">
        <f t="shared" si="55"/>
        <v>0</v>
      </c>
      <c r="AZ45" s="9">
        <f t="shared" si="12"/>
        <v>9.2590919999999993E-2</v>
      </c>
      <c r="BA45" s="68"/>
      <c r="BB45" s="3">
        <f>_xll.BDP(AM45,"CUR_MKT_CAP")/1000000</f>
        <v>8293.642578125</v>
      </c>
      <c r="BC45" s="51">
        <f>_xll.BDP(AM45, "INTERVAL_AVG", "MARKET_DATA_OVERRIDE=TURNOVER", "PERIODICITY_OVERRIDE=D","CALC_INTERVAL=2M")/1000000</f>
        <v>67.407066500000013</v>
      </c>
      <c r="BF45" s="3"/>
      <c r="BM45" s="3"/>
      <c r="BN45" s="4"/>
      <c r="BP45" s="3"/>
      <c r="BR45" s="7"/>
      <c r="BS45" s="8"/>
      <c r="BT45" s="3"/>
      <c r="BU45" s="3"/>
    </row>
    <row r="46" spans="1:75" x14ac:dyDescent="0.3">
      <c r="A46" s="76"/>
      <c r="B46" s="76"/>
      <c r="C46" s="2" t="s">
        <v>61</v>
      </c>
      <c r="E46" s="3"/>
      <c r="F46" s="3"/>
      <c r="G46" s="3" t="str">
        <f t="shared" si="8"/>
        <v/>
      </c>
      <c r="H46" s="3"/>
      <c r="I46" s="3"/>
      <c r="J46" s="3"/>
      <c r="K46" s="3"/>
      <c r="L46" s="4"/>
      <c r="M46" s="4"/>
      <c r="N46" s="4"/>
      <c r="O46" s="4"/>
      <c r="P46" s="4"/>
      <c r="R46" s="8"/>
      <c r="S46" s="3"/>
      <c r="T46" s="3"/>
      <c r="U46" s="1" t="s">
        <v>87</v>
      </c>
      <c r="W46" s="3">
        <v>0</v>
      </c>
      <c r="X46" s="3">
        <f t="shared" ref="X46:X49" si="70">ROUND(AH46/AD46,-1)</f>
        <v>0</v>
      </c>
      <c r="Y46" s="3" t="str">
        <f t="shared" ref="Y46:Y49" si="71">IF(Z46&gt;0,"매수",IF(Z46=0,"","매도"))</f>
        <v/>
      </c>
      <c r="Z46" s="3">
        <f t="shared" ref="Z46:Z49" si="72">X46-W46</f>
        <v>0</v>
      </c>
      <c r="AA46" s="3">
        <f t="shared" ref="AA46:AA49" si="73">ABS(Z46)</f>
        <v>0</v>
      </c>
      <c r="AB46" s="3">
        <f t="shared" ref="AB46:AB49" si="74">AA46*AD46</f>
        <v>0</v>
      </c>
      <c r="AC46" s="3"/>
      <c r="AD46" s="4">
        <f>_xll.BDP(U46,"PX_LAST")</f>
        <v>69.22</v>
      </c>
      <c r="AE46" s="57">
        <f>_xll.BDP(U46,"CHG_PCT_1D")/100</f>
        <v>1.2728600000000001E-2</v>
      </c>
      <c r="AF46" s="3">
        <f t="shared" ref="AF46:AF49" si="75">W46*AD46</f>
        <v>0</v>
      </c>
      <c r="AG46" s="3">
        <f>EMP2호[[#This Row],[평가금액]]*EMP2호[[#This Row],[등락율]]*$A$5</f>
        <v>0</v>
      </c>
      <c r="AH46" s="3">
        <f t="shared" si="18"/>
        <v>0</v>
      </c>
      <c r="AI46" s="9">
        <f t="shared" ref="AI46:AI56" si="76">AF46/$W$2</f>
        <v>0</v>
      </c>
      <c r="AJ46" s="8"/>
      <c r="AK46" s="3">
        <f>_xll.BDP(U46,"CUR_MKT_CAP")/1000000</f>
        <v>9586.9697265625</v>
      </c>
      <c r="AL46" s="3">
        <f>_xll.BDP(U46, "INTERVAL_AVG", "MARKET_DATA_OVERRIDE=TURNOVER", "PERIODICITY_OVERRIDE=D","CALC_INTERVAL=2M")/1000000</f>
        <v>85.221105249999965</v>
      </c>
      <c r="AM46" s="1" t="s">
        <v>102</v>
      </c>
      <c r="AN46" s="3">
        <v>6270</v>
      </c>
      <c r="AO46" s="3">
        <f t="shared" si="56"/>
        <v>0</v>
      </c>
      <c r="AP46" s="3" t="str">
        <f t="shared" si="57"/>
        <v>매도</v>
      </c>
      <c r="AQ46" s="3">
        <f t="shared" si="58"/>
        <v>-6270</v>
      </c>
      <c r="AR46" s="3">
        <f t="shared" si="59"/>
        <v>6270</v>
      </c>
      <c r="AS46" s="3">
        <f t="shared" si="60"/>
        <v>560224.5</v>
      </c>
      <c r="AT46" s="3" t="s">
        <v>275</v>
      </c>
      <c r="AU46" s="4">
        <f>_xll.BDP(AM46,"PX_LAST")</f>
        <v>89.35</v>
      </c>
      <c r="AV46" s="57">
        <f>_xll.BDP(AM46,"CHG_PCT_1D")/100</f>
        <v>1.80016E-2</v>
      </c>
      <c r="AW46" s="3">
        <f t="shared" si="61"/>
        <v>560224.5</v>
      </c>
      <c r="AX46" s="3">
        <f>EMP3호[[#This Row],[평가금액]]*EMP3호[[#This Row],[등락율]]</f>
        <v>10084.937359199999</v>
      </c>
      <c r="AY46" s="3">
        <f t="shared" si="55"/>
        <v>0</v>
      </c>
      <c r="AZ46" s="9">
        <f t="shared" si="12"/>
        <v>5.6022450000000001E-2</v>
      </c>
      <c r="BA46" s="68"/>
      <c r="BB46" s="3">
        <f>_xll.BDP(AM46,"CUR_MKT_CAP")/1000000</f>
        <v>30272.251953125</v>
      </c>
      <c r="BC46" s="51">
        <f>_xll.BDP(AM46, "INTERVAL_AVG", "MARKET_DATA_OVERRIDE=TURNOVER", "PERIODICITY_OVERRIDE=D","CALC_INTERVAL=2M")/1000000</f>
        <v>251.03847250000001</v>
      </c>
      <c r="BF46" s="3"/>
      <c r="BM46" s="3"/>
      <c r="BN46" s="57"/>
      <c r="BP46" s="3"/>
      <c r="BR46" s="7"/>
      <c r="BS46" s="8"/>
      <c r="BT46" s="3"/>
      <c r="BU46" s="3"/>
    </row>
    <row r="47" spans="1:75" x14ac:dyDescent="0.3">
      <c r="A47" s="76"/>
      <c r="B47" s="76"/>
      <c r="C47" s="2" t="s">
        <v>62</v>
      </c>
      <c r="E47" s="3"/>
      <c r="F47" s="3"/>
      <c r="G47" s="3" t="str">
        <f t="shared" si="8"/>
        <v/>
      </c>
      <c r="H47" s="3"/>
      <c r="I47" s="3"/>
      <c r="J47" s="3"/>
      <c r="K47" s="3"/>
      <c r="L47" s="4"/>
      <c r="M47" s="4"/>
      <c r="N47" s="4"/>
      <c r="O47" s="4"/>
      <c r="P47" s="4"/>
      <c r="R47" s="8"/>
      <c r="S47" s="3"/>
      <c r="T47" s="3"/>
      <c r="U47" s="1" t="s">
        <v>85</v>
      </c>
      <c r="W47" s="3">
        <v>5840</v>
      </c>
      <c r="X47" s="3">
        <f t="shared" si="70"/>
        <v>6160</v>
      </c>
      <c r="Y47" s="3" t="str">
        <f t="shared" si="71"/>
        <v>매수</v>
      </c>
      <c r="Z47" s="3">
        <f t="shared" si="72"/>
        <v>320</v>
      </c>
      <c r="AA47" s="3">
        <f t="shared" si="73"/>
        <v>320</v>
      </c>
      <c r="AB47" s="3">
        <f t="shared" si="74"/>
        <v>57644.799999999996</v>
      </c>
      <c r="AC47" s="3"/>
      <c r="AD47" s="4">
        <f>_xll.BDP(U47,"PX_LAST")</f>
        <v>180.14</v>
      </c>
      <c r="AE47" s="57">
        <f>_xll.BDP(U47,"CHG_PCT_1D")/100</f>
        <v>-2.8894880000000001E-2</v>
      </c>
      <c r="AF47" s="3">
        <f t="shared" si="75"/>
        <v>1052017.5999999999</v>
      </c>
      <c r="AG47" s="3">
        <f>EMP2호[[#This Row],[평가금액]]*EMP2호[[#This Row],[등락율]]*$A$5</f>
        <v>-46001175.831553504</v>
      </c>
      <c r="AH47" s="3">
        <f t="shared" si="18"/>
        <v>1110000</v>
      </c>
      <c r="AI47" s="57">
        <f t="shared" si="76"/>
        <v>7.0134506666666652E-2</v>
      </c>
      <c r="AJ47" s="8">
        <v>7.3999999999999996E-2</v>
      </c>
      <c r="AK47" s="3">
        <f>_xll.BDP(U47,"CUR_MKT_CAP")/1000000</f>
        <v>21364.603515625</v>
      </c>
      <c r="AL47" s="3">
        <f>_xll.BDP(U47, "INTERVAL_AVG", "MARKET_DATA_OVERRIDE=TURNOVER", "PERIODICITY_OVERRIDE=D","CALC_INTERVAL=2M")/1000000</f>
        <v>4046.2096249999995</v>
      </c>
      <c r="AN47" s="3"/>
      <c r="AZ47" s="9"/>
      <c r="BA47" s="68"/>
      <c r="BB47" s="3"/>
      <c r="BC47" s="51"/>
      <c r="BD47" s="75" t="s">
        <v>297</v>
      </c>
      <c r="BE47" s="1" t="s">
        <v>258</v>
      </c>
      <c r="BF47" s="3">
        <v>27400</v>
      </c>
      <c r="BG47" s="3">
        <f>IF(BE47&lt;&gt;"",ROUND(BQ47/BM47,-1), ROUND(BQ47/(BM47*$A$5),-1))</f>
        <v>0</v>
      </c>
      <c r="BH47" s="1" t="str">
        <f t="shared" ref="BH47" si="77">IF(BI47&gt;0,"매수",IF(BI47=0,"","매도"))</f>
        <v>매도</v>
      </c>
      <c r="BI47" s="3">
        <f t="shared" ref="BI47" si="78">BG47-BF47</f>
        <v>-27400</v>
      </c>
      <c r="BJ47" s="3">
        <f t="shared" ref="BJ47" si="79">ABS(BI47)</f>
        <v>27400</v>
      </c>
      <c r="BK47" s="3">
        <f t="shared" ref="BK47" si="80">IF(BE47&lt;&gt;"",BJ47*BM47,BJ47*BM47*$A$5)</f>
        <v>1151896000</v>
      </c>
      <c r="BM47" s="67">
        <f>_xll.IMDP("STK",$BD47,"현재가")</f>
        <v>42040</v>
      </c>
      <c r="BN47" s="57">
        <f>_xll.IMDP("STK",$BD47,"등락률")/100</f>
        <v>0</v>
      </c>
      <c r="BO47" s="3">
        <f>IF(BE47&lt;&gt;"",BF47*BM47,BF47*BM47*$A$5)</f>
        <v>1151896000</v>
      </c>
      <c r="BP47" s="3">
        <f>EMP4호[[#This Row],[평가금액(원)]]*EMP4호[[#This Row],[등락율]]</f>
        <v>0</v>
      </c>
      <c r="BQ47" s="3">
        <f t="shared" ref="BQ47" si="81">$BE$2*BS47</f>
        <v>0</v>
      </c>
      <c r="BR47" s="7">
        <f>BO47/$BE$2</f>
        <v>5.7594800000000002E-2</v>
      </c>
      <c r="BS47" s="8"/>
      <c r="BT47" s="3" t="e">
        <f>_xll.BDP(BD47,"CUR_MKT_CAP")/1000000</f>
        <v>#VALUE!</v>
      </c>
      <c r="BU47" s="3" t="e">
        <f>_xll.BDP(BD47, "INTERVAL_AVG", "MARKET_DATA_OVERRIDE=TURNOVER", "PERIODICITY_OVERRIDE=D","CALC_INTERVAL=2M")/1000000</f>
        <v>#VALUE!</v>
      </c>
      <c r="BW47" t="s">
        <v>136</v>
      </c>
    </row>
    <row r="48" spans="1:75" x14ac:dyDescent="0.3">
      <c r="A48" s="76"/>
      <c r="B48" s="76"/>
      <c r="C48" s="2" t="s">
        <v>63</v>
      </c>
      <c r="E48" s="3"/>
      <c r="F48" s="3"/>
      <c r="G48" s="3" t="str">
        <f t="shared" si="8"/>
        <v/>
      </c>
      <c r="H48" s="3"/>
      <c r="I48" s="3"/>
      <c r="J48" s="3"/>
      <c r="K48" s="3"/>
      <c r="L48" s="4"/>
      <c r="M48" s="4"/>
      <c r="N48" s="4"/>
      <c r="O48" s="4"/>
      <c r="P48" s="4"/>
      <c r="R48" s="8"/>
      <c r="S48" s="3"/>
      <c r="T48" s="3"/>
      <c r="U48" s="1" t="s">
        <v>86</v>
      </c>
      <c r="W48" s="3">
        <v>4070</v>
      </c>
      <c r="X48" s="3">
        <f t="shared" si="70"/>
        <v>4030</v>
      </c>
      <c r="Y48" s="3" t="str">
        <f t="shared" si="71"/>
        <v>매도</v>
      </c>
      <c r="Z48" s="3">
        <f t="shared" si="72"/>
        <v>-40</v>
      </c>
      <c r="AA48" s="3">
        <f t="shared" si="73"/>
        <v>40</v>
      </c>
      <c r="AB48" s="3">
        <f t="shared" si="74"/>
        <v>3725.6</v>
      </c>
      <c r="AC48" s="3"/>
      <c r="AD48" s="4">
        <f>_xll.BDP(U48,"PX_LAST")</f>
        <v>93.14</v>
      </c>
      <c r="AE48" s="57">
        <f>_xll.BDP(U48,"CHG_PCT_1D")/100</f>
        <v>9.6722189999999997E-4</v>
      </c>
      <c r="AF48" s="3">
        <f t="shared" si="75"/>
        <v>379079.8</v>
      </c>
      <c r="AG48" s="3">
        <f>EMP2호[[#This Row],[평가금액]]*EMP2호[[#This Row],[등락율]]*$A$5</f>
        <v>554857.92859405128</v>
      </c>
      <c r="AH48" s="3">
        <f t="shared" si="18"/>
        <v>375000</v>
      </c>
      <c r="AI48" s="9">
        <f t="shared" si="76"/>
        <v>2.5271986666666666E-2</v>
      </c>
      <c r="AJ48" s="8">
        <v>2.5000000000000001E-2</v>
      </c>
      <c r="AK48" s="3">
        <f>_xll.BDP(U48,"CUR_MKT_CAP")/1000000</f>
        <v>22185.947265625</v>
      </c>
      <c r="AL48" s="3">
        <f>_xll.BDP(U48, "INTERVAL_AVG", "MARKET_DATA_OVERRIDE=TURNOVER", "PERIODICITY_OVERRIDE=D","CALC_INTERVAL=2M")/1000000</f>
        <v>565.59282999999994</v>
      </c>
      <c r="AN48" s="3"/>
      <c r="AZ48" s="9"/>
      <c r="BA48" s="68"/>
      <c r="BB48" s="3"/>
      <c r="BC48" s="51"/>
      <c r="BD48" s="1" t="s">
        <v>135</v>
      </c>
      <c r="BF48" s="3">
        <v>7210</v>
      </c>
      <c r="BG48" s="3">
        <f t="shared" ref="BG48:BG59" si="82">IF(BE48&lt;&gt;"",ROUND(BQ48/BM48,-1), ROUND(BQ48/(BM48*$A$5),-1))</f>
        <v>0</v>
      </c>
      <c r="BH48" s="1" t="str">
        <f t="shared" ref="BH48:BH60" si="83">IF(BI48&gt;0,"매수",IF(BI48=0,"","매도"))</f>
        <v>매도</v>
      </c>
      <c r="BI48" s="3">
        <f t="shared" ref="BI48:BI50" si="84">BG48-BF48</f>
        <v>-7210</v>
      </c>
      <c r="BJ48" s="3">
        <f t="shared" ref="BJ48:BJ60" si="85">ABS(BI48)</f>
        <v>7210</v>
      </c>
      <c r="BK48" s="3">
        <f t="shared" ref="BK48:BK50" si="86">IF(BE48&lt;&gt;"",BJ48*BM48,BJ48*BM48*$A$5)</f>
        <v>820717371.45999992</v>
      </c>
      <c r="BM48" s="3">
        <f>_xll.BDP(BD48,"PX_LAST")</f>
        <v>75.22</v>
      </c>
      <c r="BN48" s="57">
        <f>_xll.BDP(BD48,"CHG_PCT_1D")/100</f>
        <v>0</v>
      </c>
      <c r="BO48" s="3">
        <f t="shared" ref="BO48:BO59" si="87">IF(BE48&lt;&gt;"",BF48*BM48,BF48*BM48*$A$5)</f>
        <v>820717371.45999992</v>
      </c>
      <c r="BP48" s="3">
        <f>EMP4호[[#This Row],[평가금액(원)]]*EMP4호[[#This Row],[등락율]]</f>
        <v>0</v>
      </c>
      <c r="BQ48" s="3">
        <f t="shared" ref="BQ48:BQ57" si="88">$BE$2*BS48</f>
        <v>0</v>
      </c>
      <c r="BR48" s="7">
        <f t="shared" si="16"/>
        <v>4.1035868572999998E-2</v>
      </c>
      <c r="BS48" s="8"/>
      <c r="BT48" s="3">
        <f>_xll.BDP(BD48,"CUR_MKT_CAP")/1000000</f>
        <v>17563.685546875</v>
      </c>
      <c r="BU48" s="3">
        <f>_xll.BDP(BD48, "INTERVAL_AVG", "MARKET_DATA_OVERRIDE=TURNOVER", "PERIODICITY_OVERRIDE=D","CALC_INTERVAL=2M")/1000000</f>
        <v>116.44203275000002</v>
      </c>
    </row>
    <row r="49" spans="1:75" x14ac:dyDescent="0.3">
      <c r="A49" s="76"/>
      <c r="B49" s="76"/>
      <c r="C49" s="2" t="s">
        <v>64</v>
      </c>
      <c r="E49" s="3"/>
      <c r="F49" s="3"/>
      <c r="G49" s="3" t="str">
        <f t="shared" ref="G49" si="89">IF(H49&gt;0,"매수",IF(H49=0,"","매도"))</f>
        <v/>
      </c>
      <c r="H49" s="3"/>
      <c r="I49" s="3"/>
      <c r="J49" s="3"/>
      <c r="K49" s="3"/>
      <c r="L49" s="4"/>
      <c r="M49" s="4"/>
      <c r="N49" s="4"/>
      <c r="O49" s="4"/>
      <c r="P49" s="4"/>
      <c r="R49" s="8"/>
      <c r="S49" s="3"/>
      <c r="T49" s="3"/>
      <c r="U49" s="1" t="s">
        <v>84</v>
      </c>
      <c r="W49" s="3">
        <v>6430</v>
      </c>
      <c r="X49" s="3">
        <f t="shared" si="70"/>
        <v>7370</v>
      </c>
      <c r="Y49" s="3" t="str">
        <f t="shared" si="71"/>
        <v>매수</v>
      </c>
      <c r="Z49" s="3">
        <f t="shared" si="72"/>
        <v>940</v>
      </c>
      <c r="AA49" s="3">
        <f t="shared" si="73"/>
        <v>940</v>
      </c>
      <c r="AB49" s="3">
        <f t="shared" si="74"/>
        <v>47855.399999999994</v>
      </c>
      <c r="AC49" s="3"/>
      <c r="AD49" s="4">
        <f>_xll.BDP(U49,"PX_LAST")</f>
        <v>50.91</v>
      </c>
      <c r="AE49" s="57">
        <f>_xll.BDP(U49,"CHG_PCT_1D")/100</f>
        <v>-1.1935949999999999E-2</v>
      </c>
      <c r="AF49" s="3">
        <f t="shared" si="75"/>
        <v>327351.3</v>
      </c>
      <c r="AG49" s="3">
        <f>EMP2호[[#This Row],[평가금액]]*EMP2호[[#This Row],[등락율]]*$A$5</f>
        <v>-5912839.5322173247</v>
      </c>
      <c r="AH49" s="3">
        <f t="shared" si="18"/>
        <v>375000</v>
      </c>
      <c r="AI49" s="9">
        <f t="shared" si="76"/>
        <v>2.182342E-2</v>
      </c>
      <c r="AJ49" s="8">
        <v>2.5000000000000001E-2</v>
      </c>
      <c r="AK49" s="3">
        <f>_xll.BDP(U49,"CUR_MKT_CAP")/1000000</f>
        <v>5854.64990234375</v>
      </c>
      <c r="AL49" s="3">
        <f>_xll.BDP(U49, "INTERVAL_AVG", "MARKET_DATA_OVERRIDE=TURNOVER", "PERIODICITY_OVERRIDE=D","CALC_INTERVAL=2M")/1000000</f>
        <v>193.57550674999996</v>
      </c>
      <c r="AN49" s="3"/>
      <c r="AZ49" s="9"/>
      <c r="BA49" s="68"/>
      <c r="BB49" s="3"/>
      <c r="BC49" s="51"/>
      <c r="BD49" s="75" t="s">
        <v>298</v>
      </c>
      <c r="BE49" s="1" t="s">
        <v>287</v>
      </c>
      <c r="BF49" s="3">
        <v>38400</v>
      </c>
      <c r="BG49" s="3">
        <f>IF(BE49&lt;&gt;"",ROUND(BQ49/BM49,-1), ROUND(BQ49/(BM49*$A$5),-1))</f>
        <v>0</v>
      </c>
      <c r="BH49" s="1" t="str">
        <f t="shared" si="83"/>
        <v>매도</v>
      </c>
      <c r="BI49" s="3">
        <f t="shared" si="84"/>
        <v>-38400</v>
      </c>
      <c r="BJ49" s="3">
        <f t="shared" si="85"/>
        <v>38400</v>
      </c>
      <c r="BK49" s="3">
        <f t="shared" si="86"/>
        <v>679872000</v>
      </c>
      <c r="BM49" s="67">
        <f>_xll.IMDP("STK",$BD49,"현재가")</f>
        <v>17705</v>
      </c>
      <c r="BN49" s="57">
        <f>_xll.IMDP("STK",$BD49,"등락률")/100</f>
        <v>0</v>
      </c>
      <c r="BO49" s="3">
        <f>IF(BE49&lt;&gt;"",BF49*BM49,BF49*BM49*$A$5)</f>
        <v>679872000</v>
      </c>
      <c r="BP49" s="3">
        <f>EMP4호[[#This Row],[평가금액(원)]]*EMP4호[[#This Row],[등락율]]</f>
        <v>0</v>
      </c>
      <c r="BQ49" s="3">
        <f t="shared" si="88"/>
        <v>0</v>
      </c>
      <c r="BR49" s="7">
        <f>BO49/$BE$2</f>
        <v>3.3993599999999999E-2</v>
      </c>
      <c r="BS49" s="8"/>
      <c r="BT49" s="3" t="e">
        <f>_xll.BDP(BD49,"CUR_MKT_CAP")/1000000</f>
        <v>#VALUE!</v>
      </c>
      <c r="BU49" s="3" t="e">
        <f>_xll.BDP(BD49, "INTERVAL_AVG", "MARKET_DATA_OVERRIDE=TURNOVER", "PERIODICITY_OVERRIDE=D","CALC_INTERVAL=2M")/1000000</f>
        <v>#VALUE!</v>
      </c>
    </row>
    <row r="50" spans="1:75" x14ac:dyDescent="0.3">
      <c r="A50" s="76"/>
      <c r="B50" s="76"/>
      <c r="C50" s="2" t="s">
        <v>341</v>
      </c>
      <c r="E50" s="3"/>
      <c r="F50" s="3"/>
      <c r="G50" s="3" t="str">
        <f>IF(H50&gt;0,"매수",IF(H50=0,"","매도"))</f>
        <v/>
      </c>
      <c r="H50" s="3"/>
      <c r="I50" s="3"/>
      <c r="J50" s="3"/>
      <c r="K50" s="3"/>
      <c r="L50" s="4"/>
      <c r="M50" s="4"/>
      <c r="N50" s="3"/>
      <c r="O50" s="3"/>
      <c r="P50" s="3"/>
      <c r="Q50" s="9"/>
      <c r="R50" s="8"/>
      <c r="S50" s="3"/>
      <c r="T50" s="3"/>
      <c r="W50" s="3"/>
      <c r="X50" s="3"/>
      <c r="Y50" s="3"/>
      <c r="Z50" s="3"/>
      <c r="AA50" s="3"/>
      <c r="AB50" s="3"/>
      <c r="AC50" s="3"/>
      <c r="AD50" s="4"/>
      <c r="AE50" s="74"/>
      <c r="AF50" s="3"/>
      <c r="AG50" s="3"/>
      <c r="AH50" s="3"/>
      <c r="AI50" s="9"/>
      <c r="AJ50" s="8"/>
      <c r="AK50" s="3"/>
      <c r="AL50" s="3"/>
      <c r="AN50" s="3"/>
      <c r="AO50" s="3"/>
      <c r="AP50" s="3"/>
      <c r="AQ50" s="3"/>
      <c r="AR50" s="3"/>
      <c r="AS50" s="3"/>
      <c r="AT50" s="3"/>
      <c r="AU50" s="4"/>
      <c r="AV50" s="4"/>
      <c r="AW50" s="3"/>
      <c r="AX50" s="3"/>
      <c r="AY50" s="3"/>
      <c r="AZ50" s="9">
        <f>AW50/$AN$2</f>
        <v>0</v>
      </c>
      <c r="BA50" s="68"/>
      <c r="BB50" s="3"/>
      <c r="BC50" s="51"/>
      <c r="BD50" s="75" t="s">
        <v>346</v>
      </c>
      <c r="BE50" s="1" t="s">
        <v>342</v>
      </c>
      <c r="BF50" s="3">
        <v>22660</v>
      </c>
      <c r="BG50" s="3">
        <f>IF(BE50&lt;&gt;"",ROUND(BQ50/BM50,-1), ROUND(BQ50/(BM50*$A$5),-1))</f>
        <v>0</v>
      </c>
      <c r="BH50" s="1" t="str">
        <f t="shared" si="83"/>
        <v>매도</v>
      </c>
      <c r="BI50" s="3">
        <f t="shared" si="84"/>
        <v>-22660</v>
      </c>
      <c r="BJ50" s="3">
        <f t="shared" si="85"/>
        <v>22660</v>
      </c>
      <c r="BK50" s="3">
        <f t="shared" si="86"/>
        <v>553697100</v>
      </c>
      <c r="BM50" s="67">
        <f>_xll.IMDP("STK",$BD50,"현재가")</f>
        <v>24435</v>
      </c>
      <c r="BN50" s="57">
        <f>_xll.IMDP("STK",$BD50,"등락률")/100</f>
        <v>0</v>
      </c>
      <c r="BO50" s="3">
        <f>IF(BE50&lt;&gt;"",BF50*BM50,BF50*BM50*$A$5)</f>
        <v>553697100</v>
      </c>
      <c r="BP50" s="3">
        <f>EMP4호[[#This Row],[평가금액(원)]]*EMP4호[[#This Row],[등락율]]</f>
        <v>0</v>
      </c>
      <c r="BQ50" s="3">
        <f t="shared" si="88"/>
        <v>0</v>
      </c>
      <c r="BR50" s="7">
        <f>BO50/$BE$2</f>
        <v>2.7684855000000001E-2</v>
      </c>
      <c r="BS50" s="8"/>
      <c r="BT50" s="3" t="e">
        <f>_xll.BDP(BD50,"CUR_MKT_CAP")/1000000</f>
        <v>#VALUE!</v>
      </c>
      <c r="BU50" s="3" t="e">
        <f>_xll.BDP(BD50, "INTERVAL_AVG", "MARKET_DATA_OVERRIDE=TURNOVER", "PERIODICITY_OVERRIDE=D","CALC_INTERVAL=2M")/1000000</f>
        <v>#VALUE!</v>
      </c>
    </row>
    <row r="51" spans="1:75" x14ac:dyDescent="0.3">
      <c r="A51" s="76"/>
      <c r="B51" s="76"/>
      <c r="C51" s="2" t="s">
        <v>206</v>
      </c>
      <c r="E51" s="3"/>
      <c r="F51" s="3"/>
      <c r="G51" s="3" t="str">
        <f t="shared" si="8"/>
        <v/>
      </c>
      <c r="H51" s="3"/>
      <c r="I51" s="3"/>
      <c r="J51" s="3"/>
      <c r="K51" s="3"/>
      <c r="L51" s="4"/>
      <c r="M51" s="4"/>
      <c r="N51" s="4"/>
      <c r="O51" s="4"/>
      <c r="P51" s="4"/>
      <c r="R51" s="8"/>
      <c r="S51" s="3"/>
      <c r="T51" s="3"/>
      <c r="W51" s="3"/>
      <c r="AE51" s="4"/>
      <c r="AG51" s="3"/>
      <c r="AH51" s="1">
        <f t="shared" si="18"/>
        <v>0</v>
      </c>
      <c r="AJ51" s="8"/>
      <c r="AK51" s="3"/>
      <c r="AL51" s="3"/>
      <c r="AN51" s="3"/>
      <c r="AZ51" s="9"/>
      <c r="BA51" s="68"/>
      <c r="BB51" s="3"/>
      <c r="BC51" s="51"/>
      <c r="BD51" s="1" t="s">
        <v>207</v>
      </c>
      <c r="BE51" s="1" t="s">
        <v>208</v>
      </c>
      <c r="BF51" s="3">
        <v>0</v>
      </c>
      <c r="BG51" s="3">
        <f t="shared" si="82"/>
        <v>0</v>
      </c>
      <c r="BH51" s="1" t="str">
        <f t="shared" si="83"/>
        <v/>
      </c>
      <c r="BI51" s="3">
        <f t="shared" ref="BI51:BI57" si="90">BG51-BF51</f>
        <v>0</v>
      </c>
      <c r="BJ51" s="3">
        <f t="shared" si="85"/>
        <v>0</v>
      </c>
      <c r="BK51" s="3">
        <f t="shared" ref="BK51:BK57" si="91">IF(BE51&lt;&gt;"",BJ51*BM51,BJ51*BM51*$A$5)</f>
        <v>0</v>
      </c>
      <c r="BM51" s="3">
        <f>_xll.BDP(BD51,"PX_LAST")</f>
        <v>7600</v>
      </c>
      <c r="BN51" s="4">
        <f>_xll.BDP(BD51,"CHG_PCT_1D")/100</f>
        <v>0</v>
      </c>
      <c r="BO51" s="3">
        <f t="shared" si="87"/>
        <v>0</v>
      </c>
      <c r="BP51" s="3">
        <f>EMP4호[[#This Row],[평가금액(원)]]*EMP4호[[#This Row],[등락율]]</f>
        <v>0</v>
      </c>
      <c r="BQ51" s="3">
        <f t="shared" si="88"/>
        <v>0</v>
      </c>
      <c r="BR51" s="7">
        <f t="shared" si="16"/>
        <v>0</v>
      </c>
      <c r="BS51" s="8"/>
      <c r="BT51" s="3">
        <f>_xll.BDP(BD51,"CUR_MKT_CAP")/1000000</f>
        <v>664620</v>
      </c>
      <c r="BU51" s="3">
        <f>_xll.BDP(BD51, "INTERVAL_AVG", "MARKET_DATA_OVERRIDE=TURNOVER", "PERIODICITY_OVERRIDE=D","CALC_INTERVAL=2M")/1000000</f>
        <v>9476.2815853658522</v>
      </c>
    </row>
    <row r="52" spans="1:75" x14ac:dyDescent="0.3">
      <c r="A52" s="76" t="s">
        <v>28</v>
      </c>
      <c r="B52" s="76" t="s">
        <v>29</v>
      </c>
      <c r="C52" s="2" t="s">
        <v>30</v>
      </c>
      <c r="D52" s="1" t="s">
        <v>65</v>
      </c>
      <c r="E52" s="3">
        <v>4140</v>
      </c>
      <c r="F52" s="3">
        <f>ROUND(P52/L52,-1)</f>
        <v>4150</v>
      </c>
      <c r="G52" s="3" t="str">
        <f t="shared" si="8"/>
        <v>매수</v>
      </c>
      <c r="H52" s="3">
        <f t="shared" si="9"/>
        <v>10</v>
      </c>
      <c r="I52" s="3">
        <f t="shared" si="10"/>
        <v>10</v>
      </c>
      <c r="J52" s="3">
        <f>I52*L52</f>
        <v>819.4</v>
      </c>
      <c r="K52" s="3" t="s">
        <v>273</v>
      </c>
      <c r="L52" s="4">
        <f>_xll.BDP(D52,"PX_LAST")</f>
        <v>81.94</v>
      </c>
      <c r="M52" s="57">
        <f>_xll.BDP(D52,"CHG_PCT_1D")/100</f>
        <v>1.2218959999999999E-3</v>
      </c>
      <c r="N52" s="3">
        <f>E52*L52</f>
        <v>339231.6</v>
      </c>
      <c r="O52" s="3">
        <f>EMP1호[[#This Row],[평가금액]]*EMP1호[[#This Row],[등락율]]</f>
        <v>414.50573511359994</v>
      </c>
      <c r="P52" s="3">
        <f t="shared" si="11"/>
        <v>340000</v>
      </c>
      <c r="Q52" s="9">
        <f t="shared" ref="Q52:Q68" si="92">N52/$E$2</f>
        <v>3.3923160000000001E-2</v>
      </c>
      <c r="R52" s="8">
        <v>3.4000000000000002E-2</v>
      </c>
      <c r="S52" s="3">
        <f>_xll.BDP(D52,"CUR_MKT_CAP")/1000000</f>
        <v>25327.654296875</v>
      </c>
      <c r="T52" s="3">
        <f>_xll.BDP(D52, "INTERVAL_AVG", "MARKET_DATA_OVERRIDE=TURNOVER", "PERIODICITY_OVERRIDE=D","CALC_INTERVAL=2M")/1000000</f>
        <v>275.11172250000016</v>
      </c>
      <c r="U52" s="1" t="s">
        <v>88</v>
      </c>
      <c r="W52" s="3">
        <v>44990</v>
      </c>
      <c r="X52" s="3">
        <f t="shared" ref="X52" si="93">ROUND(AH52/AD52,-1)</f>
        <v>45200</v>
      </c>
      <c r="Y52" s="3" t="str">
        <f t="shared" ref="Y52" si="94">IF(Z52&gt;0,"매수",IF(Z52=0,"","매도"))</f>
        <v>매수</v>
      </c>
      <c r="Z52" s="3">
        <f t="shared" ref="Z52" si="95">X52-W52</f>
        <v>210</v>
      </c>
      <c r="AA52" s="3">
        <f t="shared" ref="AA52" si="96">ABS(Z52)</f>
        <v>210</v>
      </c>
      <c r="AB52" s="3">
        <f t="shared" ref="AB52" si="97">AA52*AD52</f>
        <v>12196.8</v>
      </c>
      <c r="AC52" s="3"/>
      <c r="AD52" s="4">
        <f>_xll.BDP(U52,"PX_LAST")</f>
        <v>58.08</v>
      </c>
      <c r="AE52" s="57">
        <f>_xll.BDP(U52,"CHG_PCT_1D")/100</f>
        <v>1.034126E-3</v>
      </c>
      <c r="AF52" s="3">
        <f t="shared" ref="AF52" si="98">W52*AD52</f>
        <v>2613019.1999999997</v>
      </c>
      <c r="AG52" s="3">
        <f>EMP2호[[#This Row],[평가금액]]*EMP2호[[#This Row],[등락율]]*$A$5</f>
        <v>4089225.7813686151</v>
      </c>
      <c r="AH52" s="3">
        <f t="shared" si="18"/>
        <v>2625000</v>
      </c>
      <c r="AI52" s="9">
        <f t="shared" si="76"/>
        <v>0.17420127999999999</v>
      </c>
      <c r="AJ52" s="8">
        <v>0.17499999999999999</v>
      </c>
      <c r="AK52" s="3">
        <f>_xll.BDP(U52,"CUR_MKT_CAP")/1000000</f>
        <v>29443.318359375</v>
      </c>
      <c r="AL52" s="3">
        <f>_xll.BDP(U52, "INTERVAL_AVG", "MARKET_DATA_OVERRIDE=TURNOVER", "PERIODICITY_OVERRIDE=D","CALC_INTERVAL=2M")/1000000</f>
        <v>207.28471749999997</v>
      </c>
      <c r="AN52" s="3"/>
      <c r="AZ52" s="9"/>
      <c r="BA52" s="68"/>
      <c r="BB52" s="3"/>
      <c r="BC52" s="51"/>
      <c r="BD52" s="1" t="s">
        <v>175</v>
      </c>
      <c r="BF52" s="3">
        <v>0</v>
      </c>
      <c r="BG52" s="3">
        <f t="shared" si="82"/>
        <v>0</v>
      </c>
      <c r="BH52" s="1" t="str">
        <f t="shared" si="83"/>
        <v/>
      </c>
      <c r="BI52" s="3">
        <f t="shared" si="90"/>
        <v>0</v>
      </c>
      <c r="BJ52" s="3">
        <f t="shared" si="85"/>
        <v>0</v>
      </c>
      <c r="BK52" s="3">
        <f t="shared" si="91"/>
        <v>0</v>
      </c>
      <c r="BM52" s="3">
        <f>_xll.BDP(BD52,"PX_LAST")</f>
        <v>24.09</v>
      </c>
      <c r="BN52" s="57">
        <f>_xll.BDP(BD52,"CHG_PCT_1D")/100</f>
        <v>1.6632019999999999E-3</v>
      </c>
      <c r="BO52" s="3">
        <f t="shared" si="87"/>
        <v>0</v>
      </c>
      <c r="BP52" s="3">
        <f>EMP4호[[#This Row],[평가금액(원)]]*EMP4호[[#This Row],[등락율]]</f>
        <v>0</v>
      </c>
      <c r="BQ52" s="3">
        <f t="shared" si="88"/>
        <v>0</v>
      </c>
      <c r="BR52" s="7">
        <f t="shared" si="16"/>
        <v>0</v>
      </c>
      <c r="BS52" s="8"/>
      <c r="BT52" s="3">
        <f>_xll.BDP(BD52,"CUR_MKT_CAP")/1000000</f>
        <v>12625.5693359375</v>
      </c>
      <c r="BU52" s="3">
        <f>_xll.BDP(BD52, "INTERVAL_AVG", "MARKET_DATA_OVERRIDE=TURNOVER", "PERIODICITY_OVERRIDE=D","CALC_INTERVAL=2M")/1000000</f>
        <v>95.806966500000001</v>
      </c>
      <c r="BW52" t="s">
        <v>174</v>
      </c>
    </row>
    <row r="53" spans="1:75" x14ac:dyDescent="0.3">
      <c r="A53" s="76"/>
      <c r="B53" s="76"/>
      <c r="C53" s="2" t="s">
        <v>220</v>
      </c>
      <c r="E53" s="3"/>
      <c r="F53" s="3"/>
      <c r="G53" s="3"/>
      <c r="H53" s="3"/>
      <c r="I53" s="3"/>
      <c r="J53" s="3"/>
      <c r="K53" s="3"/>
      <c r="L53" s="4"/>
      <c r="M53" s="4"/>
      <c r="N53" s="3"/>
      <c r="O53" s="3"/>
      <c r="P53" s="3"/>
      <c r="Q53" s="9"/>
      <c r="R53" s="8"/>
      <c r="S53" s="3"/>
      <c r="T53" s="3"/>
      <c r="W53" s="3"/>
      <c r="AE53" s="4"/>
      <c r="AG53" s="3"/>
      <c r="AH53" s="1">
        <f t="shared" si="18"/>
        <v>0</v>
      </c>
      <c r="AJ53" s="8"/>
      <c r="AK53" s="3"/>
      <c r="AL53" s="3"/>
      <c r="AN53" s="3"/>
      <c r="AZ53" s="9"/>
      <c r="BA53" s="68"/>
      <c r="BB53" s="3"/>
      <c r="BC53" s="51"/>
      <c r="BD53" s="75" t="s">
        <v>299</v>
      </c>
      <c r="BE53" s="1" t="s">
        <v>221</v>
      </c>
      <c r="BF53" s="3">
        <v>124410</v>
      </c>
      <c r="BG53" s="3">
        <f>IF(BE53&lt;&gt;"",ROUND(BQ53/BM53,-1), ROUND(BQ53/(BM53*$A$5),-1))</f>
        <v>0</v>
      </c>
      <c r="BH53" s="1" t="str">
        <f t="shared" si="83"/>
        <v>매도</v>
      </c>
      <c r="BI53" s="3">
        <f t="shared" si="90"/>
        <v>-124410</v>
      </c>
      <c r="BJ53" s="3">
        <f t="shared" si="85"/>
        <v>124410</v>
      </c>
      <c r="BK53" s="3">
        <f t="shared" si="91"/>
        <v>1788393750</v>
      </c>
      <c r="BM53" s="67">
        <f>_xll.IMDP("STK",$BD53,"현재가")</f>
        <v>14375</v>
      </c>
      <c r="BN53" s="57">
        <f>_xll.IMDP("STK",$BD53,"등락률")/100</f>
        <v>0</v>
      </c>
      <c r="BO53" s="3">
        <f>IF(BE53&lt;&gt;"",BF53*BM53,BF53*BM53*$A$5)</f>
        <v>1788393750</v>
      </c>
      <c r="BP53" s="3">
        <f>EMP4호[[#This Row],[평가금액(원)]]*EMP4호[[#This Row],[등락율]]</f>
        <v>0</v>
      </c>
      <c r="BQ53" s="3">
        <f t="shared" si="88"/>
        <v>0</v>
      </c>
      <c r="BR53" s="7">
        <f>BO53/$BE$2</f>
        <v>8.9419687499999997E-2</v>
      </c>
      <c r="BS53" s="8"/>
      <c r="BT53" s="3" t="e">
        <f>_xll.BDP(BD53,"CUR_MKT_CAP")/1000000</f>
        <v>#VALUE!</v>
      </c>
      <c r="BU53" s="3" t="e">
        <f>_xll.BDP(BD53, "INTERVAL_AVG", "MARKET_DATA_OVERRIDE=TURNOVER", "PERIODICITY_OVERRIDE=D","CALC_INTERVAL=2M")/1000000</f>
        <v>#VALUE!</v>
      </c>
    </row>
    <row r="54" spans="1:75" x14ac:dyDescent="0.3">
      <c r="A54" s="76"/>
      <c r="B54" s="76"/>
      <c r="C54" s="2" t="s">
        <v>31</v>
      </c>
      <c r="D54" s="1" t="s">
        <v>66</v>
      </c>
      <c r="E54" s="3">
        <v>16290</v>
      </c>
      <c r="F54" s="3">
        <f>ROUND(P54/L54,-1)</f>
        <v>16360</v>
      </c>
      <c r="G54" s="3" t="str">
        <f t="shared" si="8"/>
        <v>매수</v>
      </c>
      <c r="H54" s="3">
        <f t="shared" si="9"/>
        <v>70</v>
      </c>
      <c r="I54" s="3">
        <f t="shared" si="10"/>
        <v>70</v>
      </c>
      <c r="J54" s="3">
        <f>I54*L54</f>
        <v>6588.4000000000005</v>
      </c>
      <c r="K54" s="3" t="s">
        <v>273</v>
      </c>
      <c r="L54" s="4">
        <f>_xll.BDP(D54,"PX_LAST")</f>
        <v>94.12</v>
      </c>
      <c r="M54" s="57">
        <f>_xll.BDP(D54,"CHG_PCT_1D")/100</f>
        <v>9.571413E-4</v>
      </c>
      <c r="N54" s="3">
        <f>E54*L54</f>
        <v>1533214.8</v>
      </c>
      <c r="O54" s="3">
        <f>EMP1호[[#This Row],[평가금액]]*EMP1호[[#This Row],[등락율]]</f>
        <v>1467.5032068512401</v>
      </c>
      <c r="P54" s="3">
        <f t="shared" si="11"/>
        <v>1540000</v>
      </c>
      <c r="Q54" s="9">
        <f t="shared" si="92"/>
        <v>0.15332148000000001</v>
      </c>
      <c r="R54" s="8">
        <v>0.154</v>
      </c>
      <c r="S54" s="3">
        <f>_xll.BDP(D54,"CUR_MKT_CAP")/1000000</f>
        <v>47116.47265625</v>
      </c>
      <c r="T54" s="3">
        <f>_xll.BDP(D54, "INTERVAL_AVG", "MARKET_DATA_OVERRIDE=TURNOVER", "PERIODICITY_OVERRIDE=D","CALC_INTERVAL=2M")/1000000</f>
        <v>685.12801500000012</v>
      </c>
      <c r="U54" s="1" t="s">
        <v>89</v>
      </c>
      <c r="W54" s="3">
        <v>44310</v>
      </c>
      <c r="X54" s="3">
        <f t="shared" ref="X54" si="99">ROUND(AH54/AD54,-1)</f>
        <v>44640</v>
      </c>
      <c r="Y54" s="3" t="str">
        <f t="shared" ref="Y54" si="100">IF(Z54&gt;0,"매수",IF(Z54=0,"","매도"))</f>
        <v>매수</v>
      </c>
      <c r="Z54" s="3">
        <f t="shared" ref="Z54" si="101">X54-W54</f>
        <v>330</v>
      </c>
      <c r="AA54" s="3">
        <f t="shared" ref="AA54" si="102">ABS(Z54)</f>
        <v>330</v>
      </c>
      <c r="AB54" s="3">
        <f t="shared" ref="AB54" si="103">AA54*AD54</f>
        <v>19404</v>
      </c>
      <c r="AC54" s="3"/>
      <c r="AD54" s="4">
        <f>_xll.BDP(U54,"PX_LAST")</f>
        <v>58.8</v>
      </c>
      <c r="AE54" s="57">
        <f>_xll.BDP(U54,"CHG_PCT_1D")/100</f>
        <v>1.7035780000000001E-3</v>
      </c>
      <c r="AF54" s="3">
        <f t="shared" ref="AF54" si="104">W54*AD54</f>
        <v>2605428</v>
      </c>
      <c r="AG54" s="3">
        <f>EMP2호[[#This Row],[평가금액]]*EMP2호[[#This Row],[등락율]]*$A$5</f>
        <v>6716857.4447004069</v>
      </c>
      <c r="AH54" s="3">
        <f t="shared" si="18"/>
        <v>2625000</v>
      </c>
      <c r="AI54" s="9">
        <f>AF54/$W$2</f>
        <v>0.17369519999999999</v>
      </c>
      <c r="AJ54" s="8">
        <v>0.17499999999999999</v>
      </c>
      <c r="AK54" s="3">
        <f>_xll.BDP(U54,"CUR_MKT_CAP")/1000000</f>
        <v>42050.25390625</v>
      </c>
      <c r="AL54" s="3">
        <f>_xll.BDP(U54, "INTERVAL_AVG", "MARKET_DATA_OVERRIDE=TURNOVER", "PERIODICITY_OVERRIDE=D","CALC_INTERVAL=2M")/1000000</f>
        <v>192.44236825000004</v>
      </c>
      <c r="AM54" s="1" t="s">
        <v>108</v>
      </c>
      <c r="AN54" s="3">
        <v>25410</v>
      </c>
      <c r="AO54" s="3">
        <f t="shared" ref="AO54" si="105">ROUND(AY54/AU54,-1)</f>
        <v>0</v>
      </c>
      <c r="AP54" s="3" t="str">
        <f t="shared" ref="AP54" si="106">IF(AQ54&gt;0,"매수",IF(AQ54=0,"","매도"))</f>
        <v>매도</v>
      </c>
      <c r="AQ54" s="3">
        <f t="shared" ref="AQ54" si="107">AO54-AN54</f>
        <v>-25410</v>
      </c>
      <c r="AR54" s="3">
        <f t="shared" ref="AR54" si="108">ABS(AQ54)</f>
        <v>25410</v>
      </c>
      <c r="AS54" s="3">
        <f t="shared" ref="AS54" si="109">AR54*AU54</f>
        <v>2975765.1</v>
      </c>
      <c r="AT54" s="3" t="s">
        <v>275</v>
      </c>
      <c r="AU54" s="4">
        <f>_xll.BDP(AM54,"PX_LAST")</f>
        <v>117.11</v>
      </c>
      <c r="AV54" s="57">
        <f>_xll.BDP(AM54,"CHG_PCT_1D")/100</f>
        <v>1.368106E-3</v>
      </c>
      <c r="AW54" s="3">
        <f t="shared" ref="AW54" si="110">AN54*AU54</f>
        <v>2975765.1</v>
      </c>
      <c r="AX54" s="3">
        <f>EMP3호[[#This Row],[평가금액]]*EMP3호[[#This Row],[등락율]]</f>
        <v>4071.1620879006</v>
      </c>
      <c r="AY54" s="3">
        <f t="shared" ref="AY54" si="111">$AN$2*BA54</f>
        <v>0</v>
      </c>
      <c r="AZ54" s="9">
        <f t="shared" si="12"/>
        <v>0.29757651000000002</v>
      </c>
      <c r="BA54" s="68"/>
      <c r="BB54" s="6">
        <v>0</v>
      </c>
      <c r="BC54" s="51">
        <f>_xll.BDP(AM54, "INTERVAL_AVG", "MARKET_DATA_OVERRIDE=TURNOVER", "PERIODICITY_OVERRIDE=D","CALC_INTERVAL=2M")/1000000</f>
        <v>147.74571925000001</v>
      </c>
      <c r="BD54" s="1" t="s">
        <v>173</v>
      </c>
      <c r="BF54" s="3">
        <v>33410</v>
      </c>
      <c r="BG54" s="3">
        <f t="shared" si="82"/>
        <v>0</v>
      </c>
      <c r="BH54" s="1" t="str">
        <f t="shared" si="83"/>
        <v>매도</v>
      </c>
      <c r="BI54" s="3">
        <f t="shared" si="90"/>
        <v>-33410</v>
      </c>
      <c r="BJ54" s="3">
        <f t="shared" si="85"/>
        <v>33410</v>
      </c>
      <c r="BK54" s="3">
        <f t="shared" si="91"/>
        <v>1243254490.27</v>
      </c>
      <c r="BM54" s="3">
        <f>_xll.BDP(BD54,"PX_LAST")</f>
        <v>24.59</v>
      </c>
      <c r="BN54" s="57">
        <f>_xll.BDP(BD54,"CHG_PCT_1D")/100</f>
        <v>1.629328E-3</v>
      </c>
      <c r="BO54" s="3">
        <f t="shared" si="87"/>
        <v>1243254490.27</v>
      </c>
      <c r="BP54" s="3">
        <f>EMP4호[[#This Row],[평가금액(원)]]*EMP4호[[#This Row],[등락율]]</f>
        <v>2025669.3521226386</v>
      </c>
      <c r="BQ54" s="3">
        <f t="shared" si="88"/>
        <v>0</v>
      </c>
      <c r="BR54" s="7">
        <f t="shared" si="16"/>
        <v>6.2162724513500002E-2</v>
      </c>
      <c r="BS54" s="8"/>
      <c r="BT54" s="3">
        <f>_xll.BDP(BD54,"CUR_MKT_CAP")/1000000</f>
        <v>13315.4853515625</v>
      </c>
      <c r="BU54" s="3">
        <f>_xll.BDP(BD54, "INTERVAL_AVG", "MARKET_DATA_OVERRIDE=TURNOVER", "PERIODICITY_OVERRIDE=D","CALC_INTERVAL=2M")/1000000</f>
        <v>80.323274749999996</v>
      </c>
    </row>
    <row r="55" spans="1:75" x14ac:dyDescent="0.3">
      <c r="A55" s="76"/>
      <c r="B55" s="76"/>
      <c r="C55" s="2" t="s">
        <v>171</v>
      </c>
      <c r="E55" s="3"/>
      <c r="F55" s="3"/>
      <c r="G55" s="3" t="str">
        <f t="shared" si="8"/>
        <v/>
      </c>
      <c r="H55" s="3"/>
      <c r="I55" s="3"/>
      <c r="J55" s="3"/>
      <c r="K55" s="3"/>
      <c r="L55" s="4"/>
      <c r="M55" s="4"/>
      <c r="N55" s="4"/>
      <c r="O55" s="4"/>
      <c r="P55" s="4"/>
      <c r="R55" s="8"/>
      <c r="S55" s="3"/>
      <c r="T55" s="3"/>
      <c r="W55" s="3"/>
      <c r="AE55" s="4"/>
      <c r="AG55" s="3"/>
      <c r="AJ55" s="8"/>
      <c r="AK55" s="3"/>
      <c r="AL55" s="3"/>
      <c r="AN55" s="3"/>
      <c r="AZ55" s="9"/>
      <c r="BA55" s="68"/>
      <c r="BB55" s="3"/>
      <c r="BC55" s="51"/>
      <c r="BD55" s="1" t="s">
        <v>172</v>
      </c>
      <c r="BF55" s="3">
        <v>7490</v>
      </c>
      <c r="BG55" s="3">
        <f t="shared" si="82"/>
        <v>0</v>
      </c>
      <c r="BH55" s="1" t="str">
        <f t="shared" si="83"/>
        <v>매도</v>
      </c>
      <c r="BI55" s="3">
        <f t="shared" si="90"/>
        <v>-7490</v>
      </c>
      <c r="BJ55" s="3">
        <f t="shared" si="85"/>
        <v>7490</v>
      </c>
      <c r="BK55" s="3">
        <f t="shared" si="91"/>
        <v>1227879059.6099999</v>
      </c>
      <c r="BM55" s="3">
        <f>_xll.BDP(BD55,"PX_LAST")</f>
        <v>108.33</v>
      </c>
      <c r="BN55" s="4">
        <f>_xll.BDP(BD55,"CHG_PCT_1D")/100</f>
        <v>1.479153E-3</v>
      </c>
      <c r="BO55" s="3">
        <f t="shared" si="87"/>
        <v>1227879059.6099999</v>
      </c>
      <c r="BP55" s="3">
        <f>EMP4호[[#This Row],[평가금액(원)]]*EMP4호[[#This Row],[등락율]]</f>
        <v>1816220.9946593102</v>
      </c>
      <c r="BQ55" s="3">
        <f t="shared" si="88"/>
        <v>0</v>
      </c>
      <c r="BR55" s="7">
        <f t="shared" si="16"/>
        <v>6.1393952980499995E-2</v>
      </c>
      <c r="BS55" s="8"/>
      <c r="BT55" s="3">
        <f>_xll.BDP(BD55,"CUR_MKT_CAP")/1000000</f>
        <v>14516.220703125</v>
      </c>
      <c r="BU55" s="3">
        <f>_xll.BDP(BD55, "INTERVAL_AVG", "MARKET_DATA_OVERRIDE=TURNOVER", "PERIODICITY_OVERRIDE=D","CALC_INTERVAL=2M")/1000000</f>
        <v>237.90374125000002</v>
      </c>
    </row>
    <row r="56" spans="1:75" x14ac:dyDescent="0.3">
      <c r="A56" s="76"/>
      <c r="B56" s="76"/>
      <c r="C56" s="2" t="s">
        <v>32</v>
      </c>
      <c r="D56" s="1" t="s">
        <v>67</v>
      </c>
      <c r="E56" s="3">
        <v>3040</v>
      </c>
      <c r="F56" s="3">
        <f>ROUND(P56/L56,-1)</f>
        <v>3040</v>
      </c>
      <c r="G56" s="3" t="str">
        <f t="shared" ref="G56" si="112">IF(H56&gt;0,"매수",IF(H56=0,"","매도"))</f>
        <v/>
      </c>
      <c r="H56" s="3">
        <f t="shared" ref="H56" si="113">F56-E56</f>
        <v>0</v>
      </c>
      <c r="I56" s="3">
        <f t="shared" ref="I56" si="114">ABS(H56)</f>
        <v>0</v>
      </c>
      <c r="J56" s="3">
        <f>I56*L56</f>
        <v>0</v>
      </c>
      <c r="K56" s="3" t="s">
        <v>273</v>
      </c>
      <c r="L56" s="4">
        <f>_xll.BDP(D56,"PX_LAST")</f>
        <v>85.51</v>
      </c>
      <c r="M56" s="57">
        <f>_xll.BDP(D56,"CHG_PCT_1D")/100</f>
        <v>-1.1693169999999999E-4</v>
      </c>
      <c r="N56" s="3">
        <f>E56*L56</f>
        <v>259950.40000000002</v>
      </c>
      <c r="O56" s="3">
        <f>EMP1호[[#This Row],[평가금액]]*EMP1호[[#This Row],[등락율]]</f>
        <v>-30.396442187680002</v>
      </c>
      <c r="P56" s="3">
        <f t="shared" ref="P56" si="115">$E$2*R56</f>
        <v>260000</v>
      </c>
      <c r="Q56" s="9">
        <f t="shared" ref="Q56" si="116">N56/$E$2</f>
        <v>2.5995040000000004E-2</v>
      </c>
      <c r="R56" s="8">
        <v>2.5999999999999999E-2</v>
      </c>
      <c r="S56" s="3">
        <f>_xll.BDP(D56,"CUR_MKT_CAP")/1000000</f>
        <v>41848.59375</v>
      </c>
      <c r="T56" s="3">
        <f>_xll.BDP(D56, "INTERVAL_AVG", "MARKET_DATA_OVERRIDE=TURNOVER", "PERIODICITY_OVERRIDE=D","CALC_INTERVAL=2M")/1000000</f>
        <v>2276.3572749999994</v>
      </c>
      <c r="U56" s="1" t="s">
        <v>90</v>
      </c>
      <c r="W56" s="3">
        <v>0</v>
      </c>
      <c r="X56" s="3">
        <f t="shared" ref="X56" si="117">ROUND(AH56/AD56,-1)</f>
        <v>0</v>
      </c>
      <c r="Y56" s="3" t="str">
        <f t="shared" ref="Y56" si="118">IF(Z56&gt;0,"매수",IF(Z56=0,"","매도"))</f>
        <v/>
      </c>
      <c r="Z56" s="3">
        <f t="shared" ref="Z56" si="119">X56-W56</f>
        <v>0</v>
      </c>
      <c r="AA56" s="3">
        <f t="shared" ref="AA56" si="120">ABS(Z56)</f>
        <v>0</v>
      </c>
      <c r="AB56" s="3">
        <f t="shared" ref="AB56" si="121">AA56*AD56</f>
        <v>0</v>
      </c>
      <c r="AC56" s="3"/>
      <c r="AD56" s="4">
        <f>_xll.BDP(U56,"PX_LAST")</f>
        <v>54.69</v>
      </c>
      <c r="AE56" s="57">
        <f>_xll.BDP(U56,"CHG_PCT_1D")/100</f>
        <v>5.4884740000000001E-4</v>
      </c>
      <c r="AF56" s="3">
        <f t="shared" ref="AF56" si="122">W56*AD56</f>
        <v>0</v>
      </c>
      <c r="AG56" s="3">
        <f>EMP2호[[#This Row],[평가금액]]*EMP2호[[#This Row],[등락율]]*$A$5</f>
        <v>0</v>
      </c>
      <c r="AH56" s="3">
        <f t="shared" si="18"/>
        <v>0</v>
      </c>
      <c r="AI56" s="9">
        <f t="shared" si="76"/>
        <v>0</v>
      </c>
      <c r="AJ56" s="8"/>
      <c r="AK56" s="3">
        <f>_xll.BDP(U56,"CUR_MKT_CAP")/1000000</f>
        <v>10407.8740234375</v>
      </c>
      <c r="AL56" s="3">
        <f>_xll.BDP(U56, "INTERVAL_AVG", "MARKET_DATA_OVERRIDE=TURNOVER", "PERIODICITY_OVERRIDE=D","CALC_INTERVAL=2M")/1000000</f>
        <v>114.10729850000001</v>
      </c>
      <c r="AM56" s="1" t="s">
        <v>109</v>
      </c>
      <c r="AN56" s="3">
        <v>0</v>
      </c>
      <c r="AO56" s="3">
        <f t="shared" ref="AO56" si="123">ROUND(AY56/AU56,-1)</f>
        <v>0</v>
      </c>
      <c r="AP56" s="3" t="str">
        <f t="shared" ref="AP56" si="124">IF(AQ56&gt;0,"매수",IF(AQ56=0,"","매도"))</f>
        <v/>
      </c>
      <c r="AQ56" s="3">
        <f t="shared" ref="AQ56" si="125">AO56-AN56</f>
        <v>0</v>
      </c>
      <c r="AR56" s="3">
        <f t="shared" ref="AR56" si="126">ABS(AQ56)</f>
        <v>0</v>
      </c>
      <c r="AS56" s="3">
        <f t="shared" ref="AS56" si="127">AR56*AU56</f>
        <v>0</v>
      </c>
      <c r="AT56" s="3"/>
      <c r="AU56" s="4">
        <f>_xll.BDP(AM56,"PX_LAST")</f>
        <v>25.99</v>
      </c>
      <c r="AV56" s="57">
        <f>_xll.BDP(AM56,"CHG_PCT_1D")/100</f>
        <v>0</v>
      </c>
      <c r="AW56" s="3">
        <f t="shared" ref="AW56" si="128">AN56*AU56</f>
        <v>0</v>
      </c>
      <c r="AX56" s="3">
        <f>EMP3호[[#This Row],[평가금액]]*EMP3호[[#This Row],[등락율]]</f>
        <v>0</v>
      </c>
      <c r="AY56" s="3">
        <f t="shared" ref="AY56" si="129">$AN$2*BA56</f>
        <v>0</v>
      </c>
      <c r="AZ56" s="9">
        <f t="shared" si="12"/>
        <v>0</v>
      </c>
      <c r="BA56" s="68"/>
      <c r="BB56" s="3">
        <f>_xll.BDP(AM56,"CUR_MKT_CAP")/1000000</f>
        <v>10603.919921875</v>
      </c>
      <c r="BC56" s="51">
        <f>_xll.BDP(AM56, "INTERVAL_AVG", "MARKET_DATA_OVERRIDE=TURNOVER", "PERIODICITY_OVERRIDE=D","CALC_INTERVAL=2M")/1000000</f>
        <v>154.62207675000002</v>
      </c>
      <c r="BD56" s="1" t="s">
        <v>137</v>
      </c>
      <c r="BF56" s="3">
        <v>0</v>
      </c>
      <c r="BG56" s="3">
        <f t="shared" si="82"/>
        <v>0</v>
      </c>
      <c r="BH56" s="1" t="str">
        <f t="shared" si="83"/>
        <v/>
      </c>
      <c r="BI56" s="3">
        <f t="shared" si="90"/>
        <v>0</v>
      </c>
      <c r="BJ56" s="3">
        <f t="shared" si="85"/>
        <v>0</v>
      </c>
      <c r="BK56" s="3">
        <f t="shared" si="91"/>
        <v>0</v>
      </c>
      <c r="BM56" s="3">
        <f>_xll.BDP(BD56,"PX_LAST")</f>
        <v>99.57</v>
      </c>
      <c r="BN56" s="57">
        <f>_xll.BDP(BD56,"CHG_PCT_1D")/100</f>
        <v>5.0241160000000001E-4</v>
      </c>
      <c r="BO56" s="3">
        <f t="shared" si="87"/>
        <v>0</v>
      </c>
      <c r="BP56" s="3">
        <f>EMP4호[[#This Row],[평가금액(원)]]*EMP4호[[#This Row],[등락율]]</f>
        <v>0</v>
      </c>
      <c r="BQ56" s="3">
        <f t="shared" si="88"/>
        <v>0</v>
      </c>
      <c r="BR56" s="7">
        <f t="shared" si="16"/>
        <v>0</v>
      </c>
      <c r="BS56" s="8"/>
      <c r="BT56" s="3">
        <f>_xll.BDP(BD56,"CUR_MKT_CAP")/1000000</f>
        <v>11181.7109375</v>
      </c>
      <c r="BU56" s="3">
        <f>_xll.BDP(BD56, "INTERVAL_AVG", "MARKET_DATA_OVERRIDE=TURNOVER", "PERIODICITY_OVERRIDE=D","CALC_INTERVAL=2M")/1000000</f>
        <v>138.76743750000003</v>
      </c>
    </row>
    <row r="57" spans="1:75" x14ac:dyDescent="0.3">
      <c r="A57" s="76"/>
      <c r="B57" s="76"/>
      <c r="C57" s="2" t="s">
        <v>222</v>
      </c>
      <c r="E57" s="3"/>
      <c r="F57" s="3"/>
      <c r="G57" s="3"/>
      <c r="H57" s="3"/>
      <c r="I57" s="3"/>
      <c r="J57" s="3"/>
      <c r="K57" s="3"/>
      <c r="L57" s="4"/>
      <c r="M57" s="4"/>
      <c r="N57" s="3"/>
      <c r="O57" s="3"/>
      <c r="P57" s="3"/>
      <c r="Q57" s="9"/>
      <c r="R57" s="8"/>
      <c r="S57" s="3"/>
      <c r="T57" s="3"/>
      <c r="W57" s="3"/>
      <c r="AE57" s="4"/>
      <c r="AG57" s="3"/>
      <c r="AJ57" s="8"/>
      <c r="AK57" s="3"/>
      <c r="AL57" s="3"/>
      <c r="AN57" s="3"/>
      <c r="AZ57" s="9"/>
      <c r="BA57" s="68"/>
      <c r="BB57" s="3"/>
      <c r="BC57" s="51"/>
      <c r="BD57" s="1" t="s">
        <v>223</v>
      </c>
      <c r="BE57" s="1" t="s">
        <v>224</v>
      </c>
      <c r="BF57" s="3">
        <v>0</v>
      </c>
      <c r="BG57" s="3">
        <f t="shared" si="82"/>
        <v>0</v>
      </c>
      <c r="BH57" s="1" t="str">
        <f t="shared" si="83"/>
        <v/>
      </c>
      <c r="BI57" s="3">
        <f t="shared" si="90"/>
        <v>0</v>
      </c>
      <c r="BJ57" s="3">
        <f t="shared" si="85"/>
        <v>0</v>
      </c>
      <c r="BK57" s="3">
        <f t="shared" si="91"/>
        <v>0</v>
      </c>
      <c r="BM57" s="3">
        <f>_xll.BDP(BD57,"PX_LAST")</f>
        <v>8575</v>
      </c>
      <c r="BN57" s="4">
        <f>_xll.BDP(BD57,"CHG_PCT_1D")/100</f>
        <v>-5.8275059999999992E-4</v>
      </c>
      <c r="BO57" s="3">
        <f t="shared" si="87"/>
        <v>0</v>
      </c>
      <c r="BP57" s="3">
        <f>EMP4호[[#This Row],[평가금액(원)]]*EMP4호[[#This Row],[등락율]]</f>
        <v>0</v>
      </c>
      <c r="BQ57" s="3">
        <f t="shared" si="88"/>
        <v>0</v>
      </c>
      <c r="BR57" s="7">
        <f t="shared" si="16"/>
        <v>0</v>
      </c>
      <c r="BS57" s="8"/>
      <c r="BT57" s="3">
        <f>_xll.BDP(BD57,"CUR_MKT_CAP")/1000000</f>
        <v>625975</v>
      </c>
      <c r="BU57" s="3">
        <f>_xll.BDP(BD57, "INTERVAL_AVG", "MARKET_DATA_OVERRIDE=TURNOVER", "PERIODICITY_OVERRIDE=D","CALC_INTERVAL=2M")/1000000</f>
        <v>8425.2230731707314</v>
      </c>
    </row>
    <row r="58" spans="1:75" x14ac:dyDescent="0.3">
      <c r="A58" s="76"/>
      <c r="B58" s="76" t="s">
        <v>217</v>
      </c>
      <c r="C58" s="2" t="s">
        <v>30</v>
      </c>
      <c r="E58" s="3"/>
      <c r="F58" s="3"/>
      <c r="G58" s="3"/>
      <c r="H58" s="3"/>
      <c r="I58" s="3"/>
      <c r="J58" s="3"/>
      <c r="K58" s="3"/>
      <c r="L58" s="4"/>
      <c r="M58" s="4"/>
      <c r="N58" s="3"/>
      <c r="O58" s="3"/>
      <c r="P58" s="3"/>
      <c r="Q58" s="9"/>
      <c r="R58" s="8"/>
      <c r="S58" s="3"/>
      <c r="T58" s="3"/>
      <c r="W58" s="3"/>
      <c r="AE58" s="4"/>
      <c r="AG58" s="3"/>
      <c r="AJ58" s="8"/>
      <c r="AK58" s="3"/>
      <c r="AL58" s="3"/>
      <c r="AN58" s="3"/>
      <c r="AZ58" s="9"/>
      <c r="BA58" s="68"/>
      <c r="BB58" s="3"/>
      <c r="BC58" s="51"/>
      <c r="BF58" s="3"/>
      <c r="BM58" s="3"/>
      <c r="BN58" s="4"/>
      <c r="BP58" s="3">
        <f>EMP4호[[#This Row],[평가금액(원)]]*EMP4호[[#This Row],[등락율]]</f>
        <v>0</v>
      </c>
      <c r="BQ58" s="3"/>
      <c r="BR58" s="7"/>
      <c r="BS58" s="8"/>
      <c r="BT58" s="3"/>
      <c r="BU58" s="3"/>
    </row>
    <row r="59" spans="1:75" x14ac:dyDescent="0.3">
      <c r="A59" s="76"/>
      <c r="B59" s="76"/>
      <c r="C59" s="2" t="s">
        <v>225</v>
      </c>
      <c r="E59" s="3"/>
      <c r="F59" s="3"/>
      <c r="G59" s="3"/>
      <c r="H59" s="3"/>
      <c r="I59" s="3"/>
      <c r="J59" s="3"/>
      <c r="K59" s="3"/>
      <c r="L59" s="4"/>
      <c r="M59" s="4"/>
      <c r="N59" s="3"/>
      <c r="O59" s="3"/>
      <c r="P59" s="3"/>
      <c r="Q59" s="9"/>
      <c r="R59" s="8"/>
      <c r="S59" s="3"/>
      <c r="T59" s="3"/>
      <c r="W59" s="3"/>
      <c r="AE59" s="4"/>
      <c r="AG59" s="3"/>
      <c r="AJ59" s="8"/>
      <c r="AK59" s="3"/>
      <c r="AL59" s="3"/>
      <c r="AN59" s="3"/>
      <c r="AZ59" s="9"/>
      <c r="BA59" s="68"/>
      <c r="BB59" s="3"/>
      <c r="BC59" s="51"/>
      <c r="BD59" s="1" t="s">
        <v>227</v>
      </c>
      <c r="BE59" s="1" t="s">
        <v>228</v>
      </c>
      <c r="BF59" s="3">
        <v>0</v>
      </c>
      <c r="BG59" s="3">
        <f t="shared" si="82"/>
        <v>0</v>
      </c>
      <c r="BH59" s="1" t="str">
        <f t="shared" si="83"/>
        <v/>
      </c>
      <c r="BI59" s="3">
        <f t="shared" ref="BI59:BI60" si="130">BG59-BF59</f>
        <v>0</v>
      </c>
      <c r="BJ59" s="3">
        <f t="shared" si="85"/>
        <v>0</v>
      </c>
      <c r="BK59" s="3">
        <f t="shared" ref="BK59:BK60" si="131">IF(BE59&lt;&gt;"",BJ59*BM59,BJ59*BM59*$A$5)</f>
        <v>0</v>
      </c>
      <c r="BM59" s="3">
        <f>_xll.BDP(BD59,"PX_LAST")</f>
        <v>104260</v>
      </c>
      <c r="BN59" s="4">
        <f>_xll.BDP(BD59,"CHG_PCT_1D")/100</f>
        <v>-9.5822149999999994E-4</v>
      </c>
      <c r="BO59" s="3">
        <f t="shared" si="87"/>
        <v>0</v>
      </c>
      <c r="BP59" s="3">
        <f>EMP4호[[#This Row],[평가금액(원)]]*EMP4호[[#This Row],[등락율]]</f>
        <v>0</v>
      </c>
      <c r="BQ59" s="3">
        <f>$BE$2*BS59</f>
        <v>0</v>
      </c>
      <c r="BR59" s="7">
        <f t="shared" si="16"/>
        <v>0</v>
      </c>
      <c r="BS59" s="8"/>
      <c r="BT59" s="3">
        <f>_xll.BDP(BD59,"CUR_MKT_CAP")/1000000</f>
        <v>510769.75</v>
      </c>
      <c r="BU59" s="3">
        <f>_xll.BDP(BD59, "INTERVAL_AVG", "MARKET_DATA_OVERRIDE=TURNOVER", "PERIODICITY_OVERRIDE=D","CALC_INTERVAL=2M")/1000000</f>
        <v>4727.7249756097563</v>
      </c>
    </row>
    <row r="60" spans="1:75" x14ac:dyDescent="0.3">
      <c r="A60" s="76"/>
      <c r="B60" s="76"/>
      <c r="C60" s="2" t="s">
        <v>226</v>
      </c>
      <c r="E60" s="3"/>
      <c r="F60" s="3"/>
      <c r="G60" s="3"/>
      <c r="H60" s="3"/>
      <c r="I60" s="3"/>
      <c r="J60" s="3"/>
      <c r="K60" s="3"/>
      <c r="L60" s="4"/>
      <c r="M60" s="4"/>
      <c r="N60" s="3"/>
      <c r="O60" s="3"/>
      <c r="P60" s="3"/>
      <c r="Q60" s="9"/>
      <c r="R60" s="8"/>
      <c r="S60" s="3"/>
      <c r="T60" s="3"/>
      <c r="W60" s="3"/>
      <c r="AE60" s="4"/>
      <c r="AG60" s="3"/>
      <c r="AJ60" s="8"/>
      <c r="AK60" s="3"/>
      <c r="AL60" s="3"/>
      <c r="AN60" s="3"/>
      <c r="AZ60" s="9"/>
      <c r="BA60" s="68"/>
      <c r="BB60" s="3"/>
      <c r="BC60" s="51"/>
      <c r="BD60" s="75" t="s">
        <v>300</v>
      </c>
      <c r="BE60" s="1" t="s">
        <v>289</v>
      </c>
      <c r="BF60" s="3">
        <v>34530</v>
      </c>
      <c r="BG60" s="3">
        <f>IF(BE60&lt;&gt;"",ROUND(BQ60/BM60,-1), ROUND(BQ60/(BM60*$A$5),-1))</f>
        <v>0</v>
      </c>
      <c r="BH60" s="1" t="str">
        <f t="shared" si="83"/>
        <v>매도</v>
      </c>
      <c r="BI60" s="3">
        <f t="shared" si="130"/>
        <v>-34530</v>
      </c>
      <c r="BJ60" s="3">
        <f t="shared" si="85"/>
        <v>34530</v>
      </c>
      <c r="BK60" s="3">
        <f t="shared" si="131"/>
        <v>1727881200</v>
      </c>
      <c r="BM60" s="67">
        <f>_xll.IMDP("STK",$BD60,"현재가")</f>
        <v>50040</v>
      </c>
      <c r="BN60" s="57">
        <f>_xll.IMDP("STK",$BD60,"등락률")/100</f>
        <v>0</v>
      </c>
      <c r="BO60" s="3">
        <f>IF(BE60&lt;&gt;"",BF60*BM60,BF60*BM60*$A$5)</f>
        <v>1727881200</v>
      </c>
      <c r="BP60" s="3">
        <f>EMP4호[[#This Row],[평가금액(원)]]*EMP4호[[#This Row],[등락율]]</f>
        <v>0</v>
      </c>
      <c r="BQ60" s="3">
        <f t="shared" ref="BQ60" si="132">$BE$2*BS60</f>
        <v>0</v>
      </c>
      <c r="BR60" s="7">
        <f>BO60/$BE$2</f>
        <v>8.6394059999999995E-2</v>
      </c>
      <c r="BS60" s="8"/>
      <c r="BT60" s="3" t="e">
        <f>_xll.BDP(BD60,"CUR_MKT_CAP")/1000000</f>
        <v>#VALUE!</v>
      </c>
      <c r="BU60" s="3" t="e">
        <f>_xll.BDP(BD60, "INTERVAL_AVG", "MARKET_DATA_OVERRIDE=TURNOVER", "PERIODICITY_OVERRIDE=D","CALC_INTERVAL=2M")/1000000</f>
        <v>#VALUE!</v>
      </c>
    </row>
    <row r="61" spans="1:75" x14ac:dyDescent="0.3">
      <c r="A61" s="76"/>
      <c r="B61" s="76" t="s">
        <v>33</v>
      </c>
      <c r="C61" s="2" t="s">
        <v>68</v>
      </c>
      <c r="D61" s="1" t="s">
        <v>70</v>
      </c>
      <c r="E61" s="3">
        <v>2120</v>
      </c>
      <c r="F61" s="3">
        <f>ROUND(P61/L61,-1)</f>
        <v>2120</v>
      </c>
      <c r="G61" s="3" t="str">
        <f t="shared" si="8"/>
        <v/>
      </c>
      <c r="H61" s="3">
        <f t="shared" si="9"/>
        <v>0</v>
      </c>
      <c r="I61" s="3">
        <f t="shared" si="10"/>
        <v>0</v>
      </c>
      <c r="J61" s="3">
        <f>I61*L61</f>
        <v>0</v>
      </c>
      <c r="K61" s="3" t="s">
        <v>273</v>
      </c>
      <c r="L61" s="4">
        <f>_xll.BDP(D61,"PX_LAST")</f>
        <v>108.64</v>
      </c>
      <c r="M61" s="57">
        <f>_xll.BDP(D61,"CHG_PCT_1D")/100</f>
        <v>1.659598E-3</v>
      </c>
      <c r="N61" s="3">
        <f>E61*L61</f>
        <v>230316.79999999999</v>
      </c>
      <c r="O61" s="3">
        <f>EMP1호[[#This Row],[평가금액]]*EMP1호[[#This Row],[등락율]]</f>
        <v>382.23330064639998</v>
      </c>
      <c r="P61" s="3">
        <f t="shared" si="11"/>
        <v>230000</v>
      </c>
      <c r="Q61" s="9">
        <f t="shared" si="92"/>
        <v>2.3031679999999999E-2</v>
      </c>
      <c r="R61" s="8">
        <v>2.3E-2</v>
      </c>
      <c r="S61" s="3">
        <f>_xll.BDP(D61,"CUR_MKT_CAP")/1000000</f>
        <v>34819.12109375</v>
      </c>
      <c r="T61" s="3">
        <f>_xll.BDP(D61, "INTERVAL_AVG", "MARKET_DATA_OVERRIDE=TURNOVER", "PERIODICITY_OVERRIDE=D","CALC_INTERVAL=2M")/1000000</f>
        <v>2925.1817499999997</v>
      </c>
      <c r="U61" s="1" t="s">
        <v>91</v>
      </c>
      <c r="W61" s="3">
        <v>0</v>
      </c>
      <c r="X61" s="3">
        <f t="shared" ref="X61" si="133">ROUND(AH61/AD61,-1)</f>
        <v>0</v>
      </c>
      <c r="Y61" s="3" t="str">
        <f t="shared" ref="Y61:Y68" si="134">IF(Z61&gt;0,"매수",IF(Z61=0,"","매도"))</f>
        <v/>
      </c>
      <c r="Z61" s="3">
        <f t="shared" ref="Z61" si="135">X61-W61</f>
        <v>0</v>
      </c>
      <c r="AA61" s="3">
        <f t="shared" ref="AA61:AA68" si="136">ABS(Z61)</f>
        <v>0</v>
      </c>
      <c r="AB61" s="3">
        <f t="shared" ref="AB61" si="137">AA61*AD61</f>
        <v>0</v>
      </c>
      <c r="AC61" s="3"/>
      <c r="AD61" s="4">
        <f>_xll.BDP(U61,"PX_LAST")</f>
        <v>51.09</v>
      </c>
      <c r="AE61" s="57">
        <f>_xll.BDP(U61,"CHG_PCT_1D")/100</f>
        <v>1.56832E-3</v>
      </c>
      <c r="AF61" s="3">
        <f t="shared" ref="AF61" si="138">W61*AD61</f>
        <v>0</v>
      </c>
      <c r="AG61" s="3">
        <f>EMP2호[[#This Row],[평가금액]]*EMP2호[[#This Row],[등락율]]*$A$5</f>
        <v>0</v>
      </c>
      <c r="AH61" s="3">
        <f t="shared" si="18"/>
        <v>0</v>
      </c>
      <c r="AI61" s="9">
        <f t="shared" ref="AI61:AI68" si="139">AF61/$W$2</f>
        <v>0</v>
      </c>
      <c r="AJ61" s="8"/>
      <c r="AK61" s="3">
        <f>_xll.BDP(U61,"CUR_MKT_CAP")/1000000</f>
        <v>17620.94140625</v>
      </c>
      <c r="AL61" s="3">
        <f>_xll.BDP(U61, "INTERVAL_AVG", "MARKET_DATA_OVERRIDE=TURNOVER", "PERIODICITY_OVERRIDE=D","CALC_INTERVAL=2M")/1000000</f>
        <v>92.249692500000009</v>
      </c>
      <c r="AN61" s="3"/>
      <c r="AZ61" s="9"/>
      <c r="BA61" s="68"/>
      <c r="BB61" s="3"/>
      <c r="BC61" s="51"/>
      <c r="BF61" s="3"/>
      <c r="BM61" s="3"/>
      <c r="BN61" s="57"/>
      <c r="BP61" s="3"/>
      <c r="BR61" s="7"/>
      <c r="BS61" s="8"/>
      <c r="BT61" s="3"/>
      <c r="BU61" s="3"/>
    </row>
    <row r="62" spans="1:75" x14ac:dyDescent="0.3">
      <c r="A62" s="76"/>
      <c r="B62" s="76"/>
      <c r="C62" s="2" t="s">
        <v>69</v>
      </c>
      <c r="D62" s="1" t="s">
        <v>71</v>
      </c>
      <c r="E62" s="3">
        <v>2750</v>
      </c>
      <c r="F62" s="3">
        <f>ROUND(P62/L62,-1)</f>
        <v>2760</v>
      </c>
      <c r="G62" s="3" t="str">
        <f t="shared" si="8"/>
        <v>매수</v>
      </c>
      <c r="H62" s="3">
        <f t="shared" si="9"/>
        <v>10</v>
      </c>
      <c r="I62" s="3">
        <f t="shared" si="10"/>
        <v>10</v>
      </c>
      <c r="J62" s="3">
        <f>I62*L62</f>
        <v>797.09999999999991</v>
      </c>
      <c r="K62" s="3" t="s">
        <v>273</v>
      </c>
      <c r="L62" s="4">
        <f>_xll.BDP(D62,"PX_LAST")</f>
        <v>79.709999999999994</v>
      </c>
      <c r="M62" s="57">
        <f>_xll.BDP(D62,"CHG_PCT_1D")/100</f>
        <v>1.5077270000000002E-3</v>
      </c>
      <c r="N62" s="3">
        <f>E62*L62</f>
        <v>219202.49999999997</v>
      </c>
      <c r="O62" s="3">
        <f>EMP1호[[#This Row],[평가금액]]*EMP1호[[#This Row],[등락율]]</f>
        <v>330.49752771749996</v>
      </c>
      <c r="P62" s="3">
        <f t="shared" si="11"/>
        <v>220000</v>
      </c>
      <c r="Q62" s="9">
        <f t="shared" si="92"/>
        <v>2.1920249999999999E-2</v>
      </c>
      <c r="R62" s="8">
        <v>2.1999999999999999E-2</v>
      </c>
      <c r="S62" s="3">
        <f>_xll.BDP(D62,"CUR_MKT_CAP")/1000000</f>
        <v>17536.19921875</v>
      </c>
      <c r="T62" s="3">
        <f>_xll.BDP(D62, "INTERVAL_AVG", "MARKET_DATA_OVERRIDE=TURNOVER", "PERIODICITY_OVERRIDE=D","CALC_INTERVAL=2M")/1000000</f>
        <v>2775.9183000000003</v>
      </c>
      <c r="U62" s="1" t="s">
        <v>92</v>
      </c>
      <c r="W62" s="3">
        <v>0</v>
      </c>
      <c r="X62" s="3">
        <f t="shared" ref="X62:X68" si="140">ROUND(AH62/AD62,-1)</f>
        <v>0</v>
      </c>
      <c r="Y62" s="3" t="str">
        <f t="shared" si="134"/>
        <v/>
      </c>
      <c r="Z62" s="3">
        <f t="shared" ref="Z62:Z68" si="141">X62-W62</f>
        <v>0</v>
      </c>
      <c r="AA62" s="3">
        <f t="shared" si="136"/>
        <v>0</v>
      </c>
      <c r="AB62" s="3">
        <f t="shared" ref="AB62:AB68" si="142">AA62*AD62</f>
        <v>0</v>
      </c>
      <c r="AC62" s="3"/>
      <c r="AD62" s="4">
        <f>_xll.BDP(U62,"PX_LAST")</f>
        <v>36.89</v>
      </c>
      <c r="AE62" s="57">
        <f>_xll.BDP(U62,"CHG_PCT_1D")/100</f>
        <v>1.3572200000000001E-3</v>
      </c>
      <c r="AF62" s="3">
        <f t="shared" ref="AF62:AF68" si="143">W62*AD62</f>
        <v>0</v>
      </c>
      <c r="AG62" s="3">
        <f>EMP2호[[#This Row],[평가금액]]*EMP2호[[#This Row],[등락율]]*$A$5</f>
        <v>0</v>
      </c>
      <c r="AH62" s="3">
        <f t="shared" si="18"/>
        <v>0</v>
      </c>
      <c r="AI62" s="9">
        <f t="shared" si="139"/>
        <v>0</v>
      </c>
      <c r="AJ62" s="8"/>
      <c r="AK62" s="3">
        <f>_xll.BDP(U62,"CUR_MKT_CAP")/1000000</f>
        <v>28418.2109375</v>
      </c>
      <c r="AL62" s="3">
        <f>_xll.BDP(U62, "INTERVAL_AVG", "MARKET_DATA_OVERRIDE=TURNOVER", "PERIODICITY_OVERRIDE=D","CALC_INTERVAL=2M")/1000000</f>
        <v>395.47011250000008</v>
      </c>
      <c r="AN62" s="3"/>
      <c r="AZ62" s="9"/>
      <c r="BA62" s="68"/>
      <c r="BB62" s="3"/>
      <c r="BC62" s="51"/>
      <c r="BF62" s="3"/>
      <c r="BM62" s="3"/>
      <c r="BN62" s="57"/>
      <c r="BP62" s="3"/>
      <c r="BR62" s="7"/>
      <c r="BS62" s="8"/>
      <c r="BT62" s="3"/>
      <c r="BU62" s="3"/>
    </row>
    <row r="63" spans="1:75" x14ac:dyDescent="0.3">
      <c r="A63" s="76" t="s">
        <v>34</v>
      </c>
      <c r="B63" s="1" t="s">
        <v>36</v>
      </c>
      <c r="C63" s="2" t="s">
        <v>35</v>
      </c>
      <c r="D63" s="1" t="s">
        <v>56</v>
      </c>
      <c r="E63" s="3">
        <v>1150</v>
      </c>
      <c r="F63" s="3">
        <f>ROUND(P63/L63,-1)</f>
        <v>1270</v>
      </c>
      <c r="G63" s="3" t="str">
        <f t="shared" si="8"/>
        <v>매수</v>
      </c>
      <c r="H63" s="3">
        <f t="shared" si="9"/>
        <v>120</v>
      </c>
      <c r="I63" s="3">
        <f t="shared" si="10"/>
        <v>120</v>
      </c>
      <c r="J63" s="3">
        <f>I63*L63</f>
        <v>45375.6</v>
      </c>
      <c r="K63" s="3" t="s">
        <v>273</v>
      </c>
      <c r="L63" s="4">
        <f>_xll.BDP(D63,"PX_LAST")</f>
        <v>378.13</v>
      </c>
      <c r="M63" s="57">
        <f>_xll.BDP(D63,"CHG_PCT_1D")/100</f>
        <v>2.03184E-2</v>
      </c>
      <c r="N63" s="3">
        <f>E63*L63</f>
        <v>434849.5</v>
      </c>
      <c r="O63" s="3">
        <f>EMP1호[[#This Row],[평가금액]]*EMP1호[[#This Row],[등락율]]</f>
        <v>8835.4460808000003</v>
      </c>
      <c r="P63" s="3">
        <f t="shared" si="11"/>
        <v>480000</v>
      </c>
      <c r="Q63" s="9">
        <f t="shared" si="92"/>
        <v>4.3484950000000001E-2</v>
      </c>
      <c r="R63" s="8">
        <v>4.8000000000000001E-2</v>
      </c>
      <c r="S63" s="3">
        <f>_xll.BDP(D63,"CUR_MKT_CAP")/1000000</f>
        <v>132610.1875</v>
      </c>
      <c r="T63" s="3">
        <f>_xll.BDP(D63, "INTERVAL_AVG", "MARKET_DATA_OVERRIDE=TURNOVER", "PERIODICITY_OVERRIDE=D","CALC_INTERVAL=2M")/1000000</f>
        <v>2919.0699500000005</v>
      </c>
      <c r="U63" s="1" t="s">
        <v>93</v>
      </c>
      <c r="W63" s="3">
        <v>8440</v>
      </c>
      <c r="X63" s="3">
        <f t="shared" si="140"/>
        <v>9680</v>
      </c>
      <c r="Y63" s="3" t="str">
        <f t="shared" si="134"/>
        <v>매수</v>
      </c>
      <c r="Z63" s="3">
        <f t="shared" si="141"/>
        <v>1240</v>
      </c>
      <c r="AA63" s="3">
        <f t="shared" si="136"/>
        <v>1240</v>
      </c>
      <c r="AB63" s="3">
        <f t="shared" si="142"/>
        <v>96112.400000000009</v>
      </c>
      <c r="AC63" s="3"/>
      <c r="AD63" s="4">
        <f>_xll.BDP(U63,"PX_LAST")</f>
        <v>77.510000000000005</v>
      </c>
      <c r="AE63" s="57">
        <f>_xll.BDP(U63,"CHG_PCT_1D")/100</f>
        <v>2.0405479999999997E-2</v>
      </c>
      <c r="AF63" s="3">
        <f t="shared" si="143"/>
        <v>654184.4</v>
      </c>
      <c r="AG63" s="3">
        <f>EMP2호[[#This Row],[평가금액]]*EMP2호[[#This Row],[등락율]]*$A$5</f>
        <v>20200961.026751809</v>
      </c>
      <c r="AH63" s="3">
        <f t="shared" si="18"/>
        <v>750000</v>
      </c>
      <c r="AI63" s="9">
        <f t="shared" si="139"/>
        <v>4.3612293333333337E-2</v>
      </c>
      <c r="AJ63" s="8">
        <v>0.05</v>
      </c>
      <c r="AK63" s="3">
        <f>_xll.BDP(U63,"CUR_MKT_CAP")/1000000</f>
        <v>61353.04296875</v>
      </c>
      <c r="AL63" s="3">
        <f>_xll.BDP(U63, "INTERVAL_AVG", "MARKET_DATA_OVERRIDE=TURNOVER", "PERIODICITY_OVERRIDE=D","CALC_INTERVAL=2M")/1000000</f>
        <v>526.36253250000004</v>
      </c>
      <c r="AN63" s="3"/>
      <c r="AZ63" s="9"/>
      <c r="BA63" s="68"/>
      <c r="BB63" s="3"/>
      <c r="BC63" s="51"/>
      <c r="BD63" s="75" t="s">
        <v>301</v>
      </c>
      <c r="BE63" s="1" t="s">
        <v>288</v>
      </c>
      <c r="BF63" s="3">
        <v>63440</v>
      </c>
      <c r="BG63" s="3">
        <f>IF(BE63&lt;&gt;"",ROUND(BQ63/BM63,-1), ROUND(BQ63/(BM63*$A$5),-1))</f>
        <v>0</v>
      </c>
      <c r="BH63" s="1" t="str">
        <f t="shared" ref="BH63" si="144">IF(BI63&gt;0,"매수",IF(BI63=0,"","매도"))</f>
        <v>매도</v>
      </c>
      <c r="BI63" s="3">
        <f t="shared" ref="BI63" si="145">BG63-BF63</f>
        <v>-63440</v>
      </c>
      <c r="BJ63" s="3">
        <f t="shared" ref="BJ63" si="146">ABS(BI63)</f>
        <v>63440</v>
      </c>
      <c r="BK63" s="3">
        <f t="shared" ref="BK63" si="147">IF(BE63&lt;&gt;"",BJ63*BM63,BJ63*BM63*$A$5)</f>
        <v>1803916400</v>
      </c>
      <c r="BM63" s="67">
        <f>_xll.IMDP("STK",$BD63,"현재가")</f>
        <v>28435</v>
      </c>
      <c r="BN63" s="57">
        <f>_xll.IMDP("STK",$BD63,"등락률")/100</f>
        <v>0</v>
      </c>
      <c r="BO63" s="3">
        <f>IF(BE63&lt;&gt;"",BF63*BM63,BF63*BM63*$A$5)</f>
        <v>1803916400</v>
      </c>
      <c r="BP63" s="3">
        <f>EMP4호[[#This Row],[평가금액(원)]]*EMP4호[[#This Row],[등락율]]</f>
        <v>0</v>
      </c>
      <c r="BQ63" s="3">
        <f t="shared" ref="BQ63" si="148">$BE$2*BS63</f>
        <v>0</v>
      </c>
      <c r="BR63" s="7">
        <f>BO63/$BE$2</f>
        <v>9.0195819999999996E-2</v>
      </c>
      <c r="BS63" s="8"/>
      <c r="BT63" s="3" t="e">
        <f>_xll.BDP(BD63,"CUR_MKT_CAP")/1000000</f>
        <v>#VALUE!</v>
      </c>
      <c r="BU63" s="3" t="e">
        <f>_xll.BDP(BD63, "INTERVAL_AVG", "MARKET_DATA_OVERRIDE=TURNOVER", "PERIODICITY_OVERRIDE=D","CALC_INTERVAL=2M")/1000000</f>
        <v>#VALUE!</v>
      </c>
    </row>
    <row r="64" spans="1:75" x14ac:dyDescent="0.3">
      <c r="A64" s="76"/>
      <c r="B64" s="1" t="s">
        <v>38</v>
      </c>
      <c r="C64" s="2" t="s">
        <v>37</v>
      </c>
      <c r="D64" s="1" t="s">
        <v>57</v>
      </c>
      <c r="E64" s="3">
        <v>51640</v>
      </c>
      <c r="F64" s="3">
        <f>ROUND(P64/L64,-1)</f>
        <v>60490</v>
      </c>
      <c r="G64" s="3" t="str">
        <f t="shared" si="8"/>
        <v>매수</v>
      </c>
      <c r="H64" s="3">
        <f t="shared" si="9"/>
        <v>8850</v>
      </c>
      <c r="I64" s="3">
        <f t="shared" si="10"/>
        <v>8850</v>
      </c>
      <c r="J64" s="3">
        <f>I64*L64</f>
        <v>140449.5</v>
      </c>
      <c r="K64" s="3" t="s">
        <v>273</v>
      </c>
      <c r="L64" s="4">
        <f>_xll.BDP(D64,"PX_LAST")</f>
        <v>15.87</v>
      </c>
      <c r="M64" s="57">
        <f>_xll.BDP(D64,"CHG_PCT_1D")/100</f>
        <v>5.7034220000000005E-3</v>
      </c>
      <c r="N64" s="3">
        <f>E64*L64</f>
        <v>819526.79999999993</v>
      </c>
      <c r="O64" s="3">
        <f>EMP1호[[#This Row],[평가금액]]*EMP1호[[#This Row],[등락율]]</f>
        <v>4674.1071807096005</v>
      </c>
      <c r="P64" s="3">
        <f t="shared" si="11"/>
        <v>960000</v>
      </c>
      <c r="Q64" s="9">
        <f t="shared" si="92"/>
        <v>8.1952679999999986E-2</v>
      </c>
      <c r="R64" s="8">
        <v>9.6000000000000002E-2</v>
      </c>
      <c r="S64" s="3">
        <f>_xll.BDP(D64,"CUR_MKT_CAP")/1000000</f>
        <v>5183.9990234375</v>
      </c>
      <c r="T64" s="3">
        <f>_xll.BDP(D64, "INTERVAL_AVG", "MARKET_DATA_OVERRIDE=TURNOVER", "PERIODICITY_OVERRIDE=D","CALC_INTERVAL=2M")/1000000</f>
        <v>109.22594974999998</v>
      </c>
      <c r="U64" s="1" t="s">
        <v>94</v>
      </c>
      <c r="W64" s="3">
        <v>12720</v>
      </c>
      <c r="X64" s="3">
        <f t="shared" si="140"/>
        <v>13830</v>
      </c>
      <c r="Y64" s="3" t="str">
        <f t="shared" si="134"/>
        <v>매수</v>
      </c>
      <c r="Z64" s="3">
        <f t="shared" si="141"/>
        <v>1110</v>
      </c>
      <c r="AA64" s="3">
        <f t="shared" si="136"/>
        <v>1110</v>
      </c>
      <c r="AB64" s="3">
        <f t="shared" si="142"/>
        <v>30092.1</v>
      </c>
      <c r="AC64" s="3"/>
      <c r="AD64" s="4">
        <f>_xll.BDP(U64,"PX_LAST")</f>
        <v>27.11</v>
      </c>
      <c r="AE64" s="57">
        <f>_xll.BDP(U64,"CHG_PCT_1D")/100</f>
        <v>9.1193380000000003E-4</v>
      </c>
      <c r="AF64" s="3">
        <f t="shared" si="143"/>
        <v>344839.2</v>
      </c>
      <c r="AG64" s="3">
        <f>EMP2호[[#This Row],[평가금액]]*EMP2호[[#This Row],[등락율]]*$A$5</f>
        <v>475888.24101063801</v>
      </c>
      <c r="AH64" s="3">
        <f t="shared" si="18"/>
        <v>375000</v>
      </c>
      <c r="AI64" s="57">
        <f t="shared" si="139"/>
        <v>2.2989280000000001E-2</v>
      </c>
      <c r="AJ64" s="8">
        <v>2.5000000000000001E-2</v>
      </c>
      <c r="AK64" s="3">
        <f>_xll.BDP(U64,"CUR_MKT_CAP")/1000000</f>
        <v>2727.3564453125</v>
      </c>
      <c r="AL64" s="3">
        <f>_xll.BDP(U64, "INTERVAL_AVG", "MARKET_DATA_OVERRIDE=TURNOVER", "PERIODICITY_OVERRIDE=D","CALC_INTERVAL=2M")/1000000</f>
        <v>27.952739399999999</v>
      </c>
      <c r="AM64" s="1" t="s">
        <v>110</v>
      </c>
      <c r="AN64" s="3">
        <v>25880</v>
      </c>
      <c r="AO64" s="3">
        <f t="shared" ref="AO64" si="149">ROUND(AY64/AU64,-1)</f>
        <v>0</v>
      </c>
      <c r="AP64" s="3" t="str">
        <f t="shared" ref="AP64" si="150">IF(AQ64&gt;0,"매수",IF(AQ64=0,"","매도"))</f>
        <v>매도</v>
      </c>
      <c r="AQ64" s="3">
        <f t="shared" ref="AQ64" si="151">AO64-AN64</f>
        <v>-25880</v>
      </c>
      <c r="AR64" s="3">
        <f t="shared" ref="AR64" si="152">ABS(AQ64)</f>
        <v>25880</v>
      </c>
      <c r="AS64" s="3">
        <f t="shared" ref="AS64" si="153">AR64*AU64</f>
        <v>781381.9</v>
      </c>
      <c r="AT64" s="3" t="s">
        <v>275</v>
      </c>
      <c r="AU64" s="4">
        <f>_xll.BDP(AM64,"PX_LAST")</f>
        <v>30.192499999999999</v>
      </c>
      <c r="AV64" s="57">
        <f>_xll.BDP(AM64,"CHG_PCT_1D")/100</f>
        <v>2.210722E-3</v>
      </c>
      <c r="AW64" s="3">
        <f t="shared" ref="AW64" si="154">AN64*AU64</f>
        <v>781381.9</v>
      </c>
      <c r="AX64" s="3">
        <f>EMP3호[[#This Row],[평가금액]]*EMP3호[[#This Row],[등락율]]</f>
        <v>1727.4181567318001</v>
      </c>
      <c r="AY64" s="3">
        <f t="shared" ref="AY64" si="155">$AN$2*BA64</f>
        <v>0</v>
      </c>
      <c r="AZ64" s="9">
        <f t="shared" si="12"/>
        <v>7.8138189999999996E-2</v>
      </c>
      <c r="BA64" s="68"/>
      <c r="BB64" s="3">
        <f>_xll.BDP(AM64,"CUR_MKT_CAP")/1000000</f>
        <v>1089.94921875</v>
      </c>
      <c r="BC64" s="51">
        <f>_xll.BDP(AM64, "INTERVAL_AVG", "MARKET_DATA_OVERRIDE=TURNOVER", "PERIODICITY_OVERRIDE=D","CALC_INTERVAL=2M")/1000000</f>
        <v>15.768474174999994</v>
      </c>
      <c r="BF64" s="3"/>
      <c r="BM64" s="3"/>
      <c r="BN64" s="57"/>
      <c r="BP64" s="3"/>
      <c r="BR64" s="7"/>
      <c r="BS64" s="8"/>
      <c r="BT64" s="3"/>
      <c r="BU64" s="3"/>
    </row>
    <row r="65" spans="1:73" x14ac:dyDescent="0.3">
      <c r="A65" s="76"/>
      <c r="B65" s="1" t="s">
        <v>203</v>
      </c>
      <c r="C65" s="2" t="s">
        <v>203</v>
      </c>
      <c r="E65" s="3"/>
      <c r="F65" s="3"/>
      <c r="G65" s="3"/>
      <c r="H65" s="3"/>
      <c r="I65" s="3"/>
      <c r="J65" s="3"/>
      <c r="K65" s="3"/>
      <c r="L65" s="4"/>
      <c r="M65" s="4"/>
      <c r="N65" s="3"/>
      <c r="O65" s="3"/>
      <c r="P65" s="3"/>
      <c r="Q65" s="9"/>
      <c r="R65" s="8"/>
      <c r="S65" s="3"/>
      <c r="T65" s="3"/>
      <c r="W65" s="3"/>
      <c r="X65" s="3"/>
      <c r="Y65" s="3"/>
      <c r="Z65" s="3"/>
      <c r="AA65" s="3"/>
      <c r="AB65" s="3"/>
      <c r="AC65" s="3"/>
      <c r="AD65" s="4"/>
      <c r="AE65" s="4"/>
      <c r="AF65" s="3"/>
      <c r="AG65" s="3"/>
      <c r="AH65" s="3"/>
      <c r="AI65" s="9"/>
      <c r="AJ65" s="8"/>
      <c r="AK65" s="3"/>
      <c r="AL65" s="3"/>
      <c r="AN65" s="3"/>
      <c r="AZ65" s="9"/>
      <c r="BA65" s="68"/>
      <c r="BB65" s="3"/>
      <c r="BC65" s="51"/>
      <c r="BD65" s="1" t="s">
        <v>204</v>
      </c>
      <c r="BE65" s="1" t="s">
        <v>205</v>
      </c>
      <c r="BF65" s="3">
        <v>0</v>
      </c>
      <c r="BG65" s="3">
        <f t="shared" ref="BG65:BG68" si="156">IF(BE65&lt;&gt;"",ROUND(BQ65/BM65,-1), ROUND(BQ65/(BM65*$A$5),-1))</f>
        <v>0</v>
      </c>
      <c r="BH65" s="1" t="str">
        <f t="shared" ref="BH65:BH68" si="157">IF(BI65&gt;0,"매수",IF(BI65=0,"","매도"))</f>
        <v/>
      </c>
      <c r="BI65" s="3">
        <f t="shared" ref="BI65:BI66" si="158">BG65-BF65</f>
        <v>0</v>
      </c>
      <c r="BJ65" s="3">
        <f t="shared" ref="BJ65:BJ68" si="159">ABS(BI65)</f>
        <v>0</v>
      </c>
      <c r="BK65" s="3">
        <f t="shared" ref="BK65:BK66" si="160">IF(BE65&lt;&gt;"",BJ65*BM65,BJ65*BM65*$A$5)</f>
        <v>0</v>
      </c>
      <c r="BM65" s="3">
        <f>_xll.BDP(BD65,"PX_LAST")</f>
        <v>19370</v>
      </c>
      <c r="BN65" s="4">
        <f>_xll.BDP(BD65,"CHG_PCT_1D")/100</f>
        <v>2.7313710000000001E-2</v>
      </c>
      <c r="BO65" s="3">
        <f t="shared" ref="BO65:BO68" si="161">IF(BE65&lt;&gt;"",BF65*BM65,BF65*BM65*$A$5)</f>
        <v>0</v>
      </c>
      <c r="BP65" s="3">
        <f>EMP4호[[#This Row],[평가금액(원)]]*EMP4호[[#This Row],[등락율]]</f>
        <v>0</v>
      </c>
      <c r="BQ65" s="3">
        <f t="shared" ref="BQ65:BQ68" si="162">$BE$2*BS65</f>
        <v>0</v>
      </c>
      <c r="BR65" s="7">
        <f t="shared" si="16"/>
        <v>0</v>
      </c>
      <c r="BS65" s="8"/>
      <c r="BT65" s="3">
        <f>_xll.BDP(BD65,"CUR_MKT_CAP")/1000000</f>
        <v>46488</v>
      </c>
      <c r="BU65" s="3">
        <f>_xll.BDP(BD65, "INTERVAL_AVG", "MARKET_DATA_OVERRIDE=TURNOVER", "PERIODICITY_OVERRIDE=D","CALC_INTERVAL=2M")/1000000</f>
        <v>5698.1437317073178</v>
      </c>
    </row>
    <row r="66" spans="1:73" x14ac:dyDescent="0.3">
      <c r="A66" s="76"/>
      <c r="B66" s="1" t="s">
        <v>72</v>
      </c>
      <c r="C66" s="2" t="s">
        <v>72</v>
      </c>
      <c r="E66" s="3"/>
      <c r="F66" s="3"/>
      <c r="G66" s="3" t="str">
        <f t="shared" si="8"/>
        <v/>
      </c>
      <c r="H66" s="3"/>
      <c r="I66" s="3"/>
      <c r="J66" s="3"/>
      <c r="K66" s="3"/>
      <c r="L66" s="4"/>
      <c r="M66" s="4"/>
      <c r="N66" s="4"/>
      <c r="O66" s="4"/>
      <c r="P66" s="4"/>
      <c r="R66" s="8"/>
      <c r="S66" s="3"/>
      <c r="T66" s="3"/>
      <c r="U66" s="1" t="s">
        <v>97</v>
      </c>
      <c r="W66" s="3">
        <v>0</v>
      </c>
      <c r="X66" s="3">
        <f t="shared" si="140"/>
        <v>0</v>
      </c>
      <c r="Y66" s="3" t="str">
        <f t="shared" si="134"/>
        <v/>
      </c>
      <c r="Z66" s="3">
        <f t="shared" si="141"/>
        <v>0</v>
      </c>
      <c r="AA66" s="3">
        <f t="shared" si="136"/>
        <v>0</v>
      </c>
      <c r="AB66" s="3">
        <f t="shared" si="142"/>
        <v>0</v>
      </c>
      <c r="AC66" s="3"/>
      <c r="AD66" s="4">
        <f>_xll.BDP(U66,"PX_LAST")</f>
        <v>76.650000000000006</v>
      </c>
      <c r="AE66" s="57">
        <f>_xll.BDP(U66,"CHG_PCT_1D")/100</f>
        <v>1.8063490000000001E-2</v>
      </c>
      <c r="AF66" s="3">
        <f t="shared" si="143"/>
        <v>0</v>
      </c>
      <c r="AG66" s="3">
        <f>EMP2호[[#This Row],[평가금액]]*EMP2호[[#This Row],[등락율]]*$A$5</f>
        <v>0</v>
      </c>
      <c r="AH66" s="3">
        <f t="shared" si="18"/>
        <v>0</v>
      </c>
      <c r="AI66" s="9">
        <f t="shared" si="139"/>
        <v>0</v>
      </c>
      <c r="AJ66" s="8"/>
      <c r="AK66" s="3">
        <f>_xll.BDP(U66,"CUR_MKT_CAP")/1000000</f>
        <v>7130.70166015625</v>
      </c>
      <c r="AL66" s="3">
        <f>_xll.BDP(U66, "INTERVAL_AVG", "MARKET_DATA_OVERRIDE=TURNOVER", "PERIODICITY_OVERRIDE=D","CALC_INTERVAL=2M")/1000000</f>
        <v>353.533615</v>
      </c>
      <c r="AN66" s="3"/>
      <c r="AZ66" s="9"/>
      <c r="BA66" s="68"/>
      <c r="BB66" s="3"/>
      <c r="BC66" s="51"/>
      <c r="BD66" s="75" t="s">
        <v>302</v>
      </c>
      <c r="BE66" s="1" t="s">
        <v>202</v>
      </c>
      <c r="BF66" s="3">
        <v>65790</v>
      </c>
      <c r="BG66" s="3">
        <f>IF(BE66&lt;&gt;"",ROUND(BQ66/BM66,-1), ROUND(BQ66/(BM66*$A$5),-1))</f>
        <v>0</v>
      </c>
      <c r="BH66" s="1" t="str">
        <f t="shared" si="157"/>
        <v>매도</v>
      </c>
      <c r="BI66" s="3">
        <f t="shared" si="158"/>
        <v>-65790</v>
      </c>
      <c r="BJ66" s="3">
        <f t="shared" si="159"/>
        <v>65790</v>
      </c>
      <c r="BK66" s="3">
        <f t="shared" si="160"/>
        <v>1107574650</v>
      </c>
      <c r="BM66" s="67">
        <f>_xll.IMDP("STK",$BD66,"현재가")</f>
        <v>16835</v>
      </c>
      <c r="BN66" s="57">
        <f>_xll.IMDP("STK",$BD66,"등락률")/100</f>
        <v>0</v>
      </c>
      <c r="BO66" s="3">
        <f>IF(BE66&lt;&gt;"",BF66*BM66,BF66*BM66*$A$5)</f>
        <v>1107574650</v>
      </c>
      <c r="BP66" s="3">
        <f>EMP4호[[#This Row],[평가금액(원)]]*EMP4호[[#This Row],[등락율]]</f>
        <v>0</v>
      </c>
      <c r="BQ66" s="3">
        <f t="shared" si="162"/>
        <v>0</v>
      </c>
      <c r="BR66" s="7">
        <f>BO66/$BE$2</f>
        <v>5.53787325E-2</v>
      </c>
      <c r="BS66" s="8"/>
      <c r="BT66" s="3" t="e">
        <f>_xll.BDP(BD66,"CUR_MKT_CAP")/1000000</f>
        <v>#VALUE!</v>
      </c>
      <c r="BU66" s="3" t="e">
        <f>_xll.BDP(BD66, "INTERVAL_AVG", "MARKET_DATA_OVERRIDE=TURNOVER", "PERIODICITY_OVERRIDE=D","CALC_INTERVAL=2M")/1000000</f>
        <v>#VALUE!</v>
      </c>
    </row>
    <row r="67" spans="1:73" x14ac:dyDescent="0.3">
      <c r="A67" s="76"/>
      <c r="B67" s="1" t="s">
        <v>25</v>
      </c>
      <c r="C67" s="2" t="s">
        <v>24</v>
      </c>
      <c r="D67" s="1" t="s">
        <v>58</v>
      </c>
      <c r="E67" s="3">
        <v>2090</v>
      </c>
      <c r="F67" s="3">
        <f>ROUND(P67/L67,-1)</f>
        <v>2040</v>
      </c>
      <c r="G67" s="3" t="str">
        <f t="shared" si="8"/>
        <v>매도</v>
      </c>
      <c r="H67" s="3">
        <f t="shared" ref="H67" si="163">F67-E67</f>
        <v>-50</v>
      </c>
      <c r="I67" s="3">
        <f t="shared" si="10"/>
        <v>50</v>
      </c>
      <c r="J67" s="3">
        <f>I67*L67</f>
        <v>4901</v>
      </c>
      <c r="K67" s="3"/>
      <c r="L67" s="4">
        <f>_xll.BDP(D67,"PX_LAST")</f>
        <v>98.02</v>
      </c>
      <c r="M67" s="57">
        <f>_xll.BDP(D67,"CHG_PCT_1D")/100</f>
        <v>1.2394130000000001E-2</v>
      </c>
      <c r="N67" s="3">
        <f>E67*L67</f>
        <v>204861.8</v>
      </c>
      <c r="O67" s="3">
        <f>EMP1호[[#This Row],[평가금액]]*EMP1호[[#This Row],[등락율]]</f>
        <v>2539.0837812340001</v>
      </c>
      <c r="P67" s="3">
        <f t="shared" si="11"/>
        <v>200000</v>
      </c>
      <c r="Q67" s="9">
        <f t="shared" si="92"/>
        <v>2.048618E-2</v>
      </c>
      <c r="R67" s="8">
        <v>0.02</v>
      </c>
      <c r="S67" s="3">
        <f>_xll.BDP(D67,"CUR_MKT_CAP")/1000000</f>
        <v>38926.30078125</v>
      </c>
      <c r="T67" s="3">
        <f>_xll.BDP(D67, "INTERVAL_AVG", "MARKET_DATA_OVERRIDE=TURNOVER", "PERIODICITY_OVERRIDE=D","CALC_INTERVAL=2M")/1000000</f>
        <v>320.86118999999997</v>
      </c>
      <c r="W67" s="3"/>
      <c r="X67" s="3"/>
      <c r="Y67" s="3"/>
      <c r="Z67" s="3"/>
      <c r="AA67" s="3"/>
      <c r="AB67" s="3"/>
      <c r="AC67" s="3"/>
      <c r="AD67" s="4"/>
      <c r="AE67" s="4"/>
      <c r="AF67" s="3"/>
      <c r="AG67" s="3"/>
      <c r="AH67" s="3"/>
      <c r="AI67" s="9"/>
      <c r="AJ67" s="8"/>
      <c r="AK67" s="3"/>
      <c r="AL67" s="3"/>
      <c r="AM67" s="1" t="s">
        <v>111</v>
      </c>
      <c r="AN67" s="3">
        <v>9580</v>
      </c>
      <c r="AO67" s="3">
        <f t="shared" ref="AO67:AO68" si="164">ROUND(AY67/AU67,-1)</f>
        <v>0</v>
      </c>
      <c r="AP67" s="3" t="str">
        <f t="shared" ref="AP67:AP68" si="165">IF(AQ67&gt;0,"매수",IF(AQ67=0,"","매도"))</f>
        <v>매도</v>
      </c>
      <c r="AQ67" s="3">
        <f t="shared" ref="AQ67:AQ68" si="166">AO67-AN67</f>
        <v>-9580</v>
      </c>
      <c r="AR67" s="3">
        <f t="shared" ref="AR67:AR68" si="167">ABS(AQ67)</f>
        <v>9580</v>
      </c>
      <c r="AS67" s="3">
        <f t="shared" ref="AS67:AS68" si="168">AR67*AU67</f>
        <v>428034.4</v>
      </c>
      <c r="AT67" s="3" t="s">
        <v>275</v>
      </c>
      <c r="AU67" s="4">
        <f>_xll.BDP(AM67,"PX_LAST")</f>
        <v>44.68</v>
      </c>
      <c r="AV67" s="57">
        <f>_xll.BDP(AM67,"CHG_PCT_1D")/100</f>
        <v>1.131734E-2</v>
      </c>
      <c r="AW67" s="3">
        <f t="shared" ref="AW67:AW68" si="169">AN67*AU67</f>
        <v>428034.4</v>
      </c>
      <c r="AX67" s="3">
        <f>EMP3호[[#This Row],[평가금액]]*EMP3호[[#This Row],[등락율]]</f>
        <v>4844.2108364960004</v>
      </c>
      <c r="AY67" s="3">
        <f t="shared" ref="AY67:AY68" si="170">$AN$2*BA67</f>
        <v>0</v>
      </c>
      <c r="AZ67" s="9">
        <f t="shared" si="12"/>
        <v>4.2803440000000005E-2</v>
      </c>
      <c r="BA67" s="68"/>
      <c r="BB67" s="3">
        <f>_xll.BDP(AM67,"CUR_MKT_CAP")/1000000</f>
        <v>8343.990234375</v>
      </c>
      <c r="BC67" s="51">
        <f>_xll.BDP(AM67, "INTERVAL_AVG", "MARKET_DATA_OVERRIDE=TURNOVER", "PERIODICITY_OVERRIDE=D","CALC_INTERVAL=2M")/1000000</f>
        <v>234.61808999999997</v>
      </c>
      <c r="BD67" s="1" t="s">
        <v>95</v>
      </c>
      <c r="BF67" s="3">
        <v>0</v>
      </c>
      <c r="BG67" s="1">
        <f t="shared" si="156"/>
        <v>0</v>
      </c>
      <c r="BH67" s="1" t="str">
        <f t="shared" si="157"/>
        <v/>
      </c>
      <c r="BI67" s="3">
        <f t="shared" ref="BI67:BI68" si="171">BG67-BF67</f>
        <v>0</v>
      </c>
      <c r="BJ67" s="3">
        <f t="shared" si="159"/>
        <v>0</v>
      </c>
      <c r="BK67" s="3">
        <f t="shared" ref="BK67:BK68" si="172">IF(BE67&lt;&gt;"",BJ67*BM67,BJ67*BM67*$A$5)</f>
        <v>0</v>
      </c>
      <c r="BM67" s="3">
        <f>_xll.BDP(BD67,"PX_LAST")</f>
        <v>104.01</v>
      </c>
      <c r="BN67" s="4">
        <f>_xll.BDP(BD67,"CHG_PCT_1D")/100</f>
        <v>1.2657E-2</v>
      </c>
      <c r="BO67" s="3">
        <f t="shared" si="161"/>
        <v>0</v>
      </c>
      <c r="BP67" s="3">
        <f>EMP4호[[#This Row],[평가금액(원)]]*EMP4호[[#This Row],[등락율]]</f>
        <v>0</v>
      </c>
      <c r="BQ67" s="3">
        <f t="shared" si="162"/>
        <v>0</v>
      </c>
      <c r="BR67" s="7">
        <f t="shared" si="16"/>
        <v>0</v>
      </c>
      <c r="BS67" s="8"/>
      <c r="BT67" s="3">
        <f>_xll.BDP(BD67,"CUR_MKT_CAP")/1000000</f>
        <v>4566.0390625</v>
      </c>
      <c r="BU67" s="3">
        <f>_xll.BDP(BD67, "INTERVAL_AVG", "MARKET_DATA_OVERRIDE=TURNOVER", "PERIODICITY_OVERRIDE=D","CALC_INTERVAL=2M")/1000000</f>
        <v>608.06232</v>
      </c>
    </row>
    <row r="68" spans="1:73" ht="17.25" thickBot="1" x14ac:dyDescent="0.35">
      <c r="A68" s="1" t="s">
        <v>39</v>
      </c>
      <c r="B68" s="1" t="s">
        <v>41</v>
      </c>
      <c r="C68" s="2" t="s">
        <v>40</v>
      </c>
      <c r="D68" s="1" t="s">
        <v>59</v>
      </c>
      <c r="E68" s="3">
        <v>5910</v>
      </c>
      <c r="F68" s="3">
        <f>ROUND(P68/L68,-1)</f>
        <v>5910</v>
      </c>
      <c r="G68" s="3" t="str">
        <f t="shared" si="8"/>
        <v/>
      </c>
      <c r="H68" s="3">
        <f t="shared" si="9"/>
        <v>0</v>
      </c>
      <c r="I68" s="3">
        <f t="shared" si="10"/>
        <v>0</v>
      </c>
      <c r="J68" s="3">
        <f>I68*L68</f>
        <v>0</v>
      </c>
      <c r="K68" s="3"/>
      <c r="L68" s="4">
        <f>_xll.BDP(D68,"PX_LAST")</f>
        <v>91.44</v>
      </c>
      <c r="M68" s="57">
        <f>_xll.BDP(D68,"CHG_PCT_1D")/100</f>
        <v>4.3763679999999998E-4</v>
      </c>
      <c r="N68" s="3">
        <f>E68*L68</f>
        <v>540410.4</v>
      </c>
      <c r="O68" s="3">
        <f>EMP1호[[#This Row],[평가금액]]*EMP1호[[#This Row],[등락율]]</f>
        <v>236.50347814272001</v>
      </c>
      <c r="P68" s="3">
        <f t="shared" si="11"/>
        <v>540000</v>
      </c>
      <c r="Q68" s="9">
        <f t="shared" si="92"/>
        <v>5.4041040000000005E-2</v>
      </c>
      <c r="R68" s="8">
        <v>5.3999999999999999E-2</v>
      </c>
      <c r="S68" s="3">
        <f>_xll.BDP(D68,"CUR_MKT_CAP")/1000000</f>
        <v>46495.82421875</v>
      </c>
      <c r="T68" s="3">
        <f>_xll.BDP(D68, "INTERVAL_AVG", "MARKET_DATA_OVERRIDE=TURNOVER", "PERIODICITY_OVERRIDE=D","CALC_INTERVAL=2M")/1000000</f>
        <v>933.75088749999986</v>
      </c>
      <c r="U68" s="1" t="s">
        <v>96</v>
      </c>
      <c r="W68" s="3">
        <v>0</v>
      </c>
      <c r="X68" s="3">
        <f t="shared" si="140"/>
        <v>0</v>
      </c>
      <c r="Y68" s="3" t="str">
        <f t="shared" si="134"/>
        <v/>
      </c>
      <c r="Z68" s="3">
        <f t="shared" si="141"/>
        <v>0</v>
      </c>
      <c r="AA68" s="3">
        <f t="shared" si="136"/>
        <v>0</v>
      </c>
      <c r="AB68" s="3">
        <f t="shared" si="142"/>
        <v>0</v>
      </c>
      <c r="AC68" s="3"/>
      <c r="AD68" s="4">
        <f>_xll.BDP(U68,"PX_LAST")</f>
        <v>110.09</v>
      </c>
      <c r="AE68" s="57">
        <f>_xll.BDP(U68,"CHG_PCT_1D")/100</f>
        <v>4.5438020000000001E-4</v>
      </c>
      <c r="AF68" s="3">
        <f t="shared" si="143"/>
        <v>0</v>
      </c>
      <c r="AG68" s="3">
        <f>EMP2호[[#This Row],[평가금액]]*EMP2호[[#This Row],[등락율]]*$A$5</f>
        <v>0</v>
      </c>
      <c r="AH68" s="3">
        <f t="shared" si="18"/>
        <v>0</v>
      </c>
      <c r="AI68" s="9">
        <f t="shared" si="139"/>
        <v>0</v>
      </c>
      <c r="AJ68" s="8"/>
      <c r="AK68" s="3">
        <f>_xll.BDP(U68,"CUR_MKT_CAP")/1000000</f>
        <v>20963.337890625</v>
      </c>
      <c r="AL68" s="3">
        <f>_xll.BDP(U68, "INTERVAL_AVG", "MARKET_DATA_OVERRIDE=TURNOVER", "PERIODICITY_OVERRIDE=D","CALC_INTERVAL=2M")/1000000</f>
        <v>284.67805249999992</v>
      </c>
      <c r="AM68" s="1" t="s">
        <v>112</v>
      </c>
      <c r="AN68" s="3">
        <v>0</v>
      </c>
      <c r="AO68" s="52">
        <f t="shared" si="164"/>
        <v>0</v>
      </c>
      <c r="AP68" s="52" t="str">
        <f t="shared" si="165"/>
        <v/>
      </c>
      <c r="AQ68" s="52">
        <f t="shared" si="166"/>
        <v>0</v>
      </c>
      <c r="AR68" s="52">
        <f t="shared" si="167"/>
        <v>0</v>
      </c>
      <c r="AS68" s="52">
        <f t="shared" si="168"/>
        <v>0</v>
      </c>
      <c r="AT68" s="52"/>
      <c r="AU68" s="53">
        <f>_xll.BDP(AM68,"PX_LAST")</f>
        <v>100.44</v>
      </c>
      <c r="AV68" s="57">
        <f>_xll.BDP(AM68,"CHG_PCT_1D")/100</f>
        <v>3.9840639999999994E-4</v>
      </c>
      <c r="AW68" s="52">
        <f t="shared" si="169"/>
        <v>0</v>
      </c>
      <c r="AX68" s="3">
        <f>EMP3호[[#This Row],[평가금액]]*EMP3호[[#This Row],[등락율]]</f>
        <v>0</v>
      </c>
      <c r="AY68" s="52">
        <f t="shared" si="170"/>
        <v>0</v>
      </c>
      <c r="AZ68" s="9">
        <f t="shared" si="12"/>
        <v>0</v>
      </c>
      <c r="BA68" s="69"/>
      <c r="BB68" s="52">
        <f>_xll.BDP(AM68,"CUR_MKT_CAP")/1000000</f>
        <v>96482.6640625</v>
      </c>
      <c r="BC68" s="54">
        <f>_xll.BDP(AM68, "INTERVAL_AVG", "MARKET_DATA_OVERRIDE=TURNOVER", "PERIODICITY_OVERRIDE=D","CALC_INTERVAL=2M")/1000000</f>
        <v>2157.2231750000001</v>
      </c>
      <c r="BD68" s="1" t="s">
        <v>138</v>
      </c>
      <c r="BF68" s="3">
        <v>0</v>
      </c>
      <c r="BG68" s="1">
        <f t="shared" si="156"/>
        <v>0</v>
      </c>
      <c r="BH68" s="1" t="str">
        <f t="shared" si="157"/>
        <v/>
      </c>
      <c r="BI68" s="3">
        <f t="shared" si="171"/>
        <v>0</v>
      </c>
      <c r="BJ68" s="3">
        <f t="shared" si="159"/>
        <v>0</v>
      </c>
      <c r="BK68" s="3">
        <f t="shared" si="172"/>
        <v>0</v>
      </c>
      <c r="BM68" s="3">
        <f>_xll.BDP(BD68,"PX_LAST")</f>
        <v>100.54</v>
      </c>
      <c r="BN68" s="57">
        <f>_xll.BDP(BD68,"CHG_PCT_1D")/100</f>
        <v>4.9756189999999997E-4</v>
      </c>
      <c r="BO68" s="3">
        <f t="shared" si="161"/>
        <v>0</v>
      </c>
      <c r="BP68" s="3">
        <f>EMP4호[[#This Row],[평가금액(원)]]*EMP4호[[#This Row],[등락율]]</f>
        <v>0</v>
      </c>
      <c r="BQ68" s="1">
        <f t="shared" si="162"/>
        <v>0</v>
      </c>
      <c r="BR68" s="7">
        <f t="shared" si="16"/>
        <v>0</v>
      </c>
      <c r="BS68" s="8"/>
      <c r="BT68" s="3">
        <f>_xll.BDP(BD68,"CUR_MKT_CAP")/1000000</f>
        <v>16555.921875</v>
      </c>
      <c r="BU68" s="3">
        <f>_xll.BDP(BD68, "INTERVAL_AVG", "MARKET_DATA_OVERRIDE=TURNOVER", "PERIODICITY_OVERRIDE=D","CALC_INTERVAL=2M")/1000000</f>
        <v>154.350357</v>
      </c>
    </row>
    <row r="69" spans="1:73" x14ac:dyDescent="0.3">
      <c r="E69" s="3">
        <f>SUM(E6:E68)</f>
        <v>108950</v>
      </c>
      <c r="F69" s="3"/>
      <c r="G69" s="3"/>
      <c r="H69" s="3"/>
      <c r="I69" s="3">
        <f>SUM(I6:I68)</f>
        <v>9590</v>
      </c>
      <c r="J69" s="3">
        <f>SUM(J6:J68)</f>
        <v>389624.9</v>
      </c>
      <c r="K69" s="3"/>
      <c r="L69" s="3"/>
      <c r="M69" s="3"/>
      <c r="N69" s="3">
        <f>SUM(N6:N68)</f>
        <v>9959378.7000000011</v>
      </c>
      <c r="O69" s="3">
        <f>SUM(O6:O68)</f>
        <v>28142.043913705162</v>
      </c>
      <c r="P69" s="3">
        <f>SUM(P6:P68)</f>
        <v>9970000</v>
      </c>
      <c r="Q69" s="5">
        <f>SUM(Q6:Q68)</f>
        <v>0.99593786999999989</v>
      </c>
      <c r="R69" s="6">
        <f>SUM(R6:R68)</f>
        <v>0.99700000000000022</v>
      </c>
      <c r="W69" s="3">
        <f>SUM(W6:W68)</f>
        <v>201800</v>
      </c>
      <c r="X69" s="3"/>
      <c r="Y69" s="3"/>
      <c r="Z69" s="3"/>
      <c r="AA69" s="3">
        <f>SUM(AA6:AA68)</f>
        <v>8510</v>
      </c>
      <c r="AB69" s="3">
        <f>SUM(AB6:AB68)</f>
        <v>460231.96301460383</v>
      </c>
      <c r="AC69" s="3"/>
      <c r="AD69" s="3"/>
      <c r="AE69" s="3"/>
      <c r="AF69" s="3">
        <f>SUM(AF6:AF68)</f>
        <v>549876659.89999998</v>
      </c>
      <c r="AG69" s="3">
        <f>SUM(AG6:AG68)</f>
        <v>-133915821.88140306</v>
      </c>
      <c r="AH69" s="3">
        <f>SUM(AH6:AH68)</f>
        <v>15000000</v>
      </c>
      <c r="AI69" s="5">
        <f>SUM(AI6:AI68)</f>
        <v>0.98483297106412038</v>
      </c>
      <c r="AJ69" s="8">
        <f>SUM(AJ6:AJ68)</f>
        <v>1</v>
      </c>
      <c r="AN69" s="3">
        <f>SUM(AN6:AN68)</f>
        <v>103940</v>
      </c>
      <c r="AO69" s="3"/>
      <c r="AP69" s="3"/>
      <c r="AQ69" s="3"/>
      <c r="AR69" s="3">
        <f>SUM(AR6:AR68)</f>
        <v>103940</v>
      </c>
      <c r="AS69" s="3">
        <f>SUM(AS6:AS68)</f>
        <v>10431137.600000001</v>
      </c>
      <c r="AT69" s="3"/>
      <c r="AU69" s="3"/>
      <c r="AV69" s="3"/>
      <c r="AW69" s="3">
        <f>SUM(AW6:AW68)</f>
        <v>10431137.600000001</v>
      </c>
      <c r="AX69" s="3">
        <f>SUM(AX6:AX68)</f>
        <v>1012.2119876767038</v>
      </c>
      <c r="AY69" s="3">
        <f>SUM(AY6:AY68)</f>
        <v>0</v>
      </c>
      <c r="AZ69" s="5">
        <f>SUM(AZ6:AZ68)</f>
        <v>1.04311376</v>
      </c>
      <c r="BA69" s="68">
        <f>SUM(BA6:BA68)</f>
        <v>0</v>
      </c>
      <c r="BF69" s="3">
        <f>SUM(BF6:BF68)</f>
        <v>686190</v>
      </c>
      <c r="BI69" s="3">
        <f>SUM(BI6:BI68)</f>
        <v>-686190</v>
      </c>
      <c r="BJ69" s="3">
        <f>SUM(BJ6:BJ68)</f>
        <v>686190</v>
      </c>
      <c r="BK69" s="3">
        <f>SUM(BK6:BK68)</f>
        <v>20486134299.860001</v>
      </c>
      <c r="BO69" s="3">
        <f>SUM(BO6:BO68)</f>
        <v>20486134299.860001</v>
      </c>
      <c r="BP69" s="3">
        <f>SUM(BP6:BP68)</f>
        <v>13484316.601606203</v>
      </c>
      <c r="BQ69" s="3">
        <f>SUM(BQ6:BQ68)</f>
        <v>0</v>
      </c>
      <c r="BR69" s="5">
        <f>SUM(BR6:BR68)</f>
        <v>1.0243067149929999</v>
      </c>
      <c r="BS69" s="5">
        <f>SUM(BS6:BS68)</f>
        <v>0</v>
      </c>
    </row>
  </sheetData>
  <mergeCells count="37">
    <mergeCell ref="X3:Y3"/>
    <mergeCell ref="AA4:AB4"/>
    <mergeCell ref="AA3:AB3"/>
    <mergeCell ref="BJ4:BK4"/>
    <mergeCell ref="BJ3:BK3"/>
    <mergeCell ref="BF4:BH4"/>
    <mergeCell ref="BF3:BH3"/>
    <mergeCell ref="AO3:AP3"/>
    <mergeCell ref="AO4:AP4"/>
    <mergeCell ref="AR3:AS3"/>
    <mergeCell ref="AR4:AS4"/>
    <mergeCell ref="BD1:BU1"/>
    <mergeCell ref="A1:C3"/>
    <mergeCell ref="B61:B62"/>
    <mergeCell ref="D1:T1"/>
    <mergeCell ref="U1:AL1"/>
    <mergeCell ref="W2:AF2"/>
    <mergeCell ref="E2:N2"/>
    <mergeCell ref="AM1:BC1"/>
    <mergeCell ref="AN2:AW2"/>
    <mergeCell ref="BE2:BO2"/>
    <mergeCell ref="A5:C5"/>
    <mergeCell ref="F3:G3"/>
    <mergeCell ref="I3:J3"/>
    <mergeCell ref="F4:G4"/>
    <mergeCell ref="I4:J4"/>
    <mergeCell ref="X4:Y4"/>
    <mergeCell ref="A63:A67"/>
    <mergeCell ref="B6:B11"/>
    <mergeCell ref="B12:B21"/>
    <mergeCell ref="B37:B42"/>
    <mergeCell ref="B58:B60"/>
    <mergeCell ref="B22:B36"/>
    <mergeCell ref="A6:A51"/>
    <mergeCell ref="B43:B51"/>
    <mergeCell ref="A52:A62"/>
    <mergeCell ref="B52:B57"/>
  </mergeCells>
  <phoneticPr fontId="1" type="noConversion"/>
  <conditionalFormatting sqref="Q6:Q68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{82922906-C77E-4B7F-9661-CAFED8E107A3}</x14:id>
        </ext>
      </extLst>
    </cfRule>
  </conditionalFormatting>
  <conditionalFormatting sqref="R6:R68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{6B4DC7A8-70AE-45F4-84B3-9C57EF292765}</x14:id>
        </ext>
      </extLst>
    </cfRule>
  </conditionalFormatting>
  <conditionalFormatting sqref="AE6:AE68 BN6 BN31:BN46 BN48 BN51:BN52 BN54:BN59 BN61:BN62 BN64:BN65 BN67:BN68 BN8:BN28">
    <cfRule type="dataBar" priority="35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{3F0D1331-EFF8-4DDB-B205-E837DDE4A07D}</x14:id>
        </ext>
      </extLst>
    </cfRule>
  </conditionalFormatting>
  <conditionalFormatting sqref="AI6:AI68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{EFB3953C-6B14-411A-A3DD-049429305BE5}</x14:id>
        </ext>
      </extLst>
    </cfRule>
  </conditionalFormatting>
  <conditionalFormatting sqref="AJ6:AJ68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{A1AF9D66-02A7-4F51-A2CE-C91214F1427B}</x14:id>
        </ext>
      </extLst>
    </cfRule>
  </conditionalFormatting>
  <conditionalFormatting sqref="AZ6:AZ68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{9ED65080-4118-4A28-8D29-4CCBA46FEAB2}</x14:id>
        </ext>
      </extLst>
    </cfRule>
  </conditionalFormatting>
  <conditionalFormatting sqref="BA6:BA68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{4FBD5251-5AAE-401C-821C-8CE65AEFD834}</x14:id>
        </ext>
      </extLst>
    </cfRule>
  </conditionalFormatting>
  <conditionalFormatting sqref="BD29">
    <cfRule type="duplicateValues" dxfId="86" priority="31"/>
  </conditionalFormatting>
  <conditionalFormatting sqref="BD30">
    <cfRule type="duplicateValues" dxfId="85" priority="25"/>
  </conditionalFormatting>
  <conditionalFormatting sqref="BD47">
    <cfRule type="duplicateValues" dxfId="84" priority="42"/>
  </conditionalFormatting>
  <conditionalFormatting sqref="BD48:BD68 D6:D68 U6:V68 AM6:AM68 BD6:BD28 BD31:BD46">
    <cfRule type="duplicateValues" dxfId="83" priority="95"/>
  </conditionalFormatting>
  <conditionalFormatting sqref="BN7">
    <cfRule type="dataBar" priority="1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{9E2164EB-7DA0-46AF-B2D5-E905774144D9}</x14:id>
        </ext>
      </extLst>
    </cfRule>
  </conditionalFormatting>
  <conditionalFormatting sqref="BN29:BN30">
    <cfRule type="dataBar" priority="27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{81E7A496-1748-4A89-8C5F-420A53D05287}</x14:id>
        </ext>
      </extLst>
    </cfRule>
  </conditionalFormatting>
  <conditionalFormatting sqref="BN47">
    <cfRule type="dataBar" priority="22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{B81A28E0-330E-4124-96CB-56504F15F53F}</x14:id>
        </ext>
      </extLst>
    </cfRule>
  </conditionalFormatting>
  <conditionalFormatting sqref="BN49">
    <cfRule type="dataBar" priority="19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{6B1AE0D7-4F2D-4113-8897-E496553C9A06}</x14:id>
        </ext>
      </extLst>
    </cfRule>
  </conditionalFormatting>
  <conditionalFormatting sqref="BN50">
    <cfRule type="dataBar" priority="16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{DDC13253-1EA3-4899-8276-388B5126D15E}</x14:id>
        </ext>
      </extLst>
    </cfRule>
  </conditionalFormatting>
  <conditionalFormatting sqref="BN53">
    <cfRule type="dataBar" priority="13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{711EEE4C-B9AE-484E-A11C-27A62DA87501}</x14:id>
        </ext>
      </extLst>
    </cfRule>
  </conditionalFormatting>
  <conditionalFormatting sqref="BN60">
    <cfRule type="dataBar" priority="10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{05D39BE9-2DDB-47F3-8053-05C323DB2E2F}</x14:id>
        </ext>
      </extLst>
    </cfRule>
  </conditionalFormatting>
  <conditionalFormatting sqref="BN63">
    <cfRule type="dataBar" priority="7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{4BC3B551-E76C-413C-9C4E-85B4FFB76C4E}</x14:id>
        </ext>
      </extLst>
    </cfRule>
  </conditionalFormatting>
  <conditionalFormatting sqref="BN66">
    <cfRule type="dataBar" priority="4">
      <dataBar>
        <cfvo type="num" val="-0.05"/>
        <cfvo type="num" val="0.05"/>
        <color rgb="FFFF555A"/>
      </dataBar>
      <extLst>
        <ext xmlns:x14="http://schemas.microsoft.com/office/spreadsheetml/2009/9/main" uri="{B025F937-C7B1-47D3-B67F-A62EFF666E3E}">
          <x14:id>{4BD42408-0199-499C-9ABE-3FEC2CD1E792}</x14:id>
        </ext>
      </extLst>
    </cfRule>
  </conditionalFormatting>
  <conditionalFormatting sqref="BR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{F96500BF-D93A-4F8A-B45C-FDB7911DAEDC}</x14:id>
        </ext>
      </extLst>
    </cfRule>
  </conditionalFormatting>
  <conditionalFormatting sqref="BR29:BR30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{A50AD5D3-3C46-4FB9-A023-E9C3B6CCBEDE}</x14:id>
        </ext>
      </extLst>
    </cfRule>
  </conditionalFormatting>
  <conditionalFormatting sqref="BR47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{AACF2756-BA48-4552-B110-34611AA418C2}</x14:id>
        </ext>
      </extLst>
    </cfRule>
  </conditionalFormatting>
  <conditionalFormatting sqref="BR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{4396C5EC-59A8-4D88-B9AD-63AC0911D997}</x14:id>
        </ext>
      </extLst>
    </cfRule>
  </conditionalFormatting>
  <conditionalFormatting sqref="BR5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{44E01998-3ACA-4AA5-A756-92B50EEDF8D6}</x14:id>
        </ext>
      </extLst>
    </cfRule>
  </conditionalFormatting>
  <conditionalFormatting sqref="BR53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{BDDC47CF-2CBD-442A-8927-558DF4801333}</x14:id>
        </ext>
      </extLst>
    </cfRule>
  </conditionalFormatting>
  <conditionalFormatting sqref="BR6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{DA0B49C0-17B8-414C-86C9-B70073A779E7}</x14:id>
        </ext>
      </extLst>
    </cfRule>
  </conditionalFormatting>
  <conditionalFormatting sqref="BR61:BR62 BR6 BR31:BR46 BR48 BR51:BR52 BR54:BR59 BR64:BR65 BR67:BR68 BR8:BR2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{896A2A3E-0852-4061-B1EB-8B7A8FA4654B}</x14:id>
        </ext>
      </extLst>
    </cfRule>
  </conditionalFormatting>
  <conditionalFormatting sqref="BR6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{D9E0D130-854F-4D7C-B58A-70CD2E880ADA}</x14:id>
        </ext>
      </extLst>
    </cfRule>
  </conditionalFormatting>
  <conditionalFormatting sqref="BR6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{C2A36FE3-3530-472D-AC9F-4AF95E0CBF11}</x14:id>
        </ext>
      </extLst>
    </cfRule>
  </conditionalFormatting>
  <conditionalFormatting sqref="BS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{57961FF7-D6A0-464F-9B58-F0EF5463A486}</x14:id>
        </ext>
      </extLst>
    </cfRule>
  </conditionalFormatting>
  <conditionalFormatting sqref="BS29:BS30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{B9BAE14A-77CB-48BD-ADD1-5BCF304702D5}</x14:id>
        </ext>
      </extLst>
    </cfRule>
  </conditionalFormatting>
  <conditionalFormatting sqref="BS47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{32276106-6279-4C0D-A808-B6FFD52A1E89}</x14:id>
        </ext>
      </extLst>
    </cfRule>
  </conditionalFormatting>
  <conditionalFormatting sqref="BS49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{1E35730D-1AD9-4464-9238-535348AFA2BA}</x14:id>
        </ext>
      </extLst>
    </cfRule>
  </conditionalFormatting>
  <conditionalFormatting sqref="BS5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{8866439D-66F5-496A-9A08-7CEE49BEA489}</x14:id>
        </ext>
      </extLst>
    </cfRule>
  </conditionalFormatting>
  <conditionalFormatting sqref="BS5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{CD4504F3-C547-49C7-9613-084AB053D278}</x14:id>
        </ext>
      </extLst>
    </cfRule>
  </conditionalFormatting>
  <conditionalFormatting sqref="BS60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{CE3B3103-4D93-4978-A86B-7D0D0C719D57}</x14:id>
        </ext>
      </extLst>
    </cfRule>
  </conditionalFormatting>
  <conditionalFormatting sqref="BS61:BS62 BS6 BS31:BS46 BS48 BS51:BS52 BS54:BS59 BS64:BS65 BS67:BS68 BS8:BS28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{EF970EA4-CFDB-4BE4-B675-45C23053C31F}</x14:id>
        </ext>
      </extLst>
    </cfRule>
  </conditionalFormatting>
  <conditionalFormatting sqref="BS6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{D48BB4EA-F27B-40C6-A923-6A49B89FC23C}</x14:id>
        </ext>
      </extLst>
    </cfRule>
  </conditionalFormatting>
  <conditionalFormatting sqref="BS6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{BB7FAA02-CF09-4B81-B195-F1141416AEE7}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F4 I4 L4 BF4 BJ4" formulaRange="1"/>
    <ignoredError sqref="AE29:AE36 AE6 AE51:AE52 AE54:AE68 AE12:AE27 AE46:AE49" calculatedColumn="1"/>
  </ignoredErrors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922906-C77E-4B7F-9661-CAFED8E107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Q6:Q68</xm:sqref>
        </x14:conditionalFormatting>
        <x14:conditionalFormatting xmlns:xm="http://schemas.microsoft.com/office/excel/2006/main">
          <x14:cfRule type="dataBar" id="{6B4DC7A8-70AE-45F4-84B3-9C57EF2927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R6:R68</xm:sqref>
        </x14:conditionalFormatting>
        <x14:conditionalFormatting xmlns:xm="http://schemas.microsoft.com/office/excel/2006/main">
          <x14:cfRule type="dataBar" id="{3F0D1331-EFF8-4DDB-B205-E837DDE4A07D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AE6:AE68 BN6 BN31:BN46 BN48 BN51:BN52 BN54:BN59 BN61:BN62 BN64:BN65 BN67:BN68 BN8:BN28</xm:sqref>
        </x14:conditionalFormatting>
        <x14:conditionalFormatting xmlns:xm="http://schemas.microsoft.com/office/excel/2006/main">
          <x14:cfRule type="dataBar" id="{EFB3953C-6B14-411A-A3DD-049429305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AI6:AI68</xm:sqref>
        </x14:conditionalFormatting>
        <x14:conditionalFormatting xmlns:xm="http://schemas.microsoft.com/office/excel/2006/main">
          <x14:cfRule type="dataBar" id="{A1AF9D66-02A7-4F51-A2CE-C91214F142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AJ6:AJ68</xm:sqref>
        </x14:conditionalFormatting>
        <x14:conditionalFormatting xmlns:xm="http://schemas.microsoft.com/office/excel/2006/main">
          <x14:cfRule type="dataBar" id="{9ED65080-4118-4A28-8D29-4CCBA46FEA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AZ6:AZ68</xm:sqref>
        </x14:conditionalFormatting>
        <x14:conditionalFormatting xmlns:xm="http://schemas.microsoft.com/office/excel/2006/main">
          <x14:cfRule type="dataBar" id="{4FBD5251-5AAE-401C-821C-8CE65AEFD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BA6:BA68</xm:sqref>
        </x14:conditionalFormatting>
        <x14:conditionalFormatting xmlns:xm="http://schemas.microsoft.com/office/excel/2006/main">
          <x14:cfRule type="dataBar" id="{9E2164EB-7DA0-46AF-B2D5-E905774144D9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BN7</xm:sqref>
        </x14:conditionalFormatting>
        <x14:conditionalFormatting xmlns:xm="http://schemas.microsoft.com/office/excel/2006/main">
          <x14:cfRule type="dataBar" id="{81E7A496-1748-4A89-8C5F-420A53D05287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BN29:BN30</xm:sqref>
        </x14:conditionalFormatting>
        <x14:conditionalFormatting xmlns:xm="http://schemas.microsoft.com/office/excel/2006/main">
          <x14:cfRule type="dataBar" id="{B81A28E0-330E-4124-96CB-56504F15F53F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BN47</xm:sqref>
        </x14:conditionalFormatting>
        <x14:conditionalFormatting xmlns:xm="http://schemas.microsoft.com/office/excel/2006/main">
          <x14:cfRule type="dataBar" id="{6B1AE0D7-4F2D-4113-8897-E496553C9A06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BN49</xm:sqref>
        </x14:conditionalFormatting>
        <x14:conditionalFormatting xmlns:xm="http://schemas.microsoft.com/office/excel/2006/main">
          <x14:cfRule type="dataBar" id="{DDC13253-1EA3-4899-8276-388B5126D15E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BN50</xm:sqref>
        </x14:conditionalFormatting>
        <x14:conditionalFormatting xmlns:xm="http://schemas.microsoft.com/office/excel/2006/main">
          <x14:cfRule type="dataBar" id="{711EEE4C-B9AE-484E-A11C-27A62DA87501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BN53</xm:sqref>
        </x14:conditionalFormatting>
        <x14:conditionalFormatting xmlns:xm="http://schemas.microsoft.com/office/excel/2006/main">
          <x14:cfRule type="dataBar" id="{05D39BE9-2DDB-47F3-8053-05C323DB2E2F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BN60</xm:sqref>
        </x14:conditionalFormatting>
        <x14:conditionalFormatting xmlns:xm="http://schemas.microsoft.com/office/excel/2006/main">
          <x14:cfRule type="dataBar" id="{4BC3B551-E76C-413C-9C4E-85B4FFB76C4E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BN63</xm:sqref>
        </x14:conditionalFormatting>
        <x14:conditionalFormatting xmlns:xm="http://schemas.microsoft.com/office/excel/2006/main">
          <x14:cfRule type="dataBar" id="{4BD42408-0199-499C-9ABE-3FEC2CD1E792}">
            <x14:dataBar minLength="0" maxLength="100" border="1" negativeBarBorderColorSameAsPositive="0">
              <x14:cfvo type="num">
                <xm:f>-0.05</xm:f>
              </x14:cfvo>
              <x14:cfvo type="num">
                <xm:f>0.05</xm:f>
              </x14:cfvo>
              <x14:borderColor rgb="FFFF555A"/>
              <x14:negativeFillColor theme="8"/>
              <x14:negativeBorderColor theme="8"/>
              <x14:axisColor rgb="FF000000"/>
            </x14:dataBar>
          </x14:cfRule>
          <xm:sqref>BN66</xm:sqref>
        </x14:conditionalFormatting>
        <x14:conditionalFormatting xmlns:xm="http://schemas.microsoft.com/office/excel/2006/main">
          <x14:cfRule type="dataBar" id="{F96500BF-D93A-4F8A-B45C-FDB7911DA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BR7</xm:sqref>
        </x14:conditionalFormatting>
        <x14:conditionalFormatting xmlns:xm="http://schemas.microsoft.com/office/excel/2006/main">
          <x14:cfRule type="dataBar" id="{A50AD5D3-3C46-4FB9-A023-E9C3B6CCBE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BR29:BR30</xm:sqref>
        </x14:conditionalFormatting>
        <x14:conditionalFormatting xmlns:xm="http://schemas.microsoft.com/office/excel/2006/main">
          <x14:cfRule type="dataBar" id="{AACF2756-BA48-4552-B110-34611AA418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BR47</xm:sqref>
        </x14:conditionalFormatting>
        <x14:conditionalFormatting xmlns:xm="http://schemas.microsoft.com/office/excel/2006/main">
          <x14:cfRule type="dataBar" id="{4396C5EC-59A8-4D88-B9AD-63AC0911D9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BR49</xm:sqref>
        </x14:conditionalFormatting>
        <x14:conditionalFormatting xmlns:xm="http://schemas.microsoft.com/office/excel/2006/main">
          <x14:cfRule type="dataBar" id="{44E01998-3ACA-4AA5-A756-92B50EEDF8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BR50</xm:sqref>
        </x14:conditionalFormatting>
        <x14:conditionalFormatting xmlns:xm="http://schemas.microsoft.com/office/excel/2006/main">
          <x14:cfRule type="dataBar" id="{BDDC47CF-2CBD-442A-8927-558DF48013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BR53</xm:sqref>
        </x14:conditionalFormatting>
        <x14:conditionalFormatting xmlns:xm="http://schemas.microsoft.com/office/excel/2006/main">
          <x14:cfRule type="dataBar" id="{DA0B49C0-17B8-414C-86C9-B70073A779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BR60</xm:sqref>
        </x14:conditionalFormatting>
        <x14:conditionalFormatting xmlns:xm="http://schemas.microsoft.com/office/excel/2006/main">
          <x14:cfRule type="dataBar" id="{896A2A3E-0852-4061-B1EB-8B7A8FA465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BR61:BR62 BR6 BR31:BR46 BR48 BR51:BR52 BR54:BR59 BR64:BR65 BR67:BR68 BR8:BR28</xm:sqref>
        </x14:conditionalFormatting>
        <x14:conditionalFormatting xmlns:xm="http://schemas.microsoft.com/office/excel/2006/main">
          <x14:cfRule type="dataBar" id="{D9E0D130-854F-4D7C-B58A-70CD2E880A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BR63</xm:sqref>
        </x14:conditionalFormatting>
        <x14:conditionalFormatting xmlns:xm="http://schemas.microsoft.com/office/excel/2006/main">
          <x14:cfRule type="dataBar" id="{C2A36FE3-3530-472D-AC9F-4AF95E0CBF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BR66</xm:sqref>
        </x14:conditionalFormatting>
        <x14:conditionalFormatting xmlns:xm="http://schemas.microsoft.com/office/excel/2006/main">
          <x14:cfRule type="dataBar" id="{57961FF7-D6A0-464F-9B58-F0EF5463A4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BS7</xm:sqref>
        </x14:conditionalFormatting>
        <x14:conditionalFormatting xmlns:xm="http://schemas.microsoft.com/office/excel/2006/main">
          <x14:cfRule type="dataBar" id="{B9BAE14A-77CB-48BD-ADD1-5BCF304702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BS29:BS30</xm:sqref>
        </x14:conditionalFormatting>
        <x14:conditionalFormatting xmlns:xm="http://schemas.microsoft.com/office/excel/2006/main">
          <x14:cfRule type="dataBar" id="{32276106-6279-4C0D-A808-B6FFD52A1E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BS47</xm:sqref>
        </x14:conditionalFormatting>
        <x14:conditionalFormatting xmlns:xm="http://schemas.microsoft.com/office/excel/2006/main">
          <x14:cfRule type="dataBar" id="{1E35730D-1AD9-4464-9238-535348AFA2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BS49</xm:sqref>
        </x14:conditionalFormatting>
        <x14:conditionalFormatting xmlns:xm="http://schemas.microsoft.com/office/excel/2006/main">
          <x14:cfRule type="dataBar" id="{8866439D-66F5-496A-9A08-7CEE49BEA4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BS50</xm:sqref>
        </x14:conditionalFormatting>
        <x14:conditionalFormatting xmlns:xm="http://schemas.microsoft.com/office/excel/2006/main">
          <x14:cfRule type="dataBar" id="{CD4504F3-C547-49C7-9613-084AB053D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BS53</xm:sqref>
        </x14:conditionalFormatting>
        <x14:conditionalFormatting xmlns:xm="http://schemas.microsoft.com/office/excel/2006/main">
          <x14:cfRule type="dataBar" id="{CE3B3103-4D93-4978-A86B-7D0D0C719D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BS60</xm:sqref>
        </x14:conditionalFormatting>
        <x14:conditionalFormatting xmlns:xm="http://schemas.microsoft.com/office/excel/2006/main">
          <x14:cfRule type="dataBar" id="{EF970EA4-CFDB-4BE4-B675-45C23053C3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BS61:BS62 BS6 BS31:BS46 BS48 BS51:BS52 BS54:BS59 BS64:BS65 BS67:BS68 BS8:BS28</xm:sqref>
        </x14:conditionalFormatting>
        <x14:conditionalFormatting xmlns:xm="http://schemas.microsoft.com/office/excel/2006/main">
          <x14:cfRule type="dataBar" id="{D48BB4EA-F27B-40C6-A923-6A49B89FC2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BS63</xm:sqref>
        </x14:conditionalFormatting>
        <x14:conditionalFormatting xmlns:xm="http://schemas.microsoft.com/office/excel/2006/main">
          <x14:cfRule type="dataBar" id="{BB7FAA02-CF09-4B81-B195-F1141416A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02DC-1D91-4711-955C-969B08BF5D73}">
  <sheetPr codeName="Sheet2"/>
  <dimension ref="A1:F40"/>
  <sheetViews>
    <sheetView workbookViewId="0">
      <selection activeCell="P10" sqref="P10"/>
    </sheetView>
  </sheetViews>
  <sheetFormatPr defaultRowHeight="16.5" x14ac:dyDescent="0.3"/>
  <cols>
    <col min="1" max="1" width="17.875" style="1" customWidth="1"/>
    <col min="2" max="2" width="31.5" style="1" hidden="1" customWidth="1"/>
    <col min="3" max="6" width="10.25" style="1" customWidth="1"/>
  </cols>
  <sheetData>
    <row r="1" spans="1:6" x14ac:dyDescent="0.3">
      <c r="A1" s="1" t="s">
        <v>276</v>
      </c>
      <c r="B1" s="1" t="s">
        <v>319</v>
      </c>
      <c r="C1" s="1" t="s">
        <v>231</v>
      </c>
      <c r="D1" s="1" t="s">
        <v>233</v>
      </c>
      <c r="E1" s="1" t="s">
        <v>234</v>
      </c>
      <c r="F1" s="1" t="s">
        <v>235</v>
      </c>
    </row>
    <row r="2" spans="1:6" x14ac:dyDescent="0.3">
      <c r="A2" s="3" t="s">
        <v>73</v>
      </c>
      <c r="B2" s="3"/>
      <c r="C2" s="3" t="s">
        <v>269</v>
      </c>
      <c r="D2" s="3">
        <v>0</v>
      </c>
      <c r="E2" s="3">
        <v>0</v>
      </c>
    </row>
    <row r="3" spans="1:6" x14ac:dyDescent="0.3">
      <c r="A3" s="1" t="s">
        <v>74</v>
      </c>
      <c r="C3" s="1" t="s">
        <v>277</v>
      </c>
      <c r="D3" s="3">
        <v>950</v>
      </c>
      <c r="E3" s="3">
        <v>166744</v>
      </c>
      <c r="F3" s="1" t="s">
        <v>336</v>
      </c>
    </row>
    <row r="4" spans="1:6" x14ac:dyDescent="0.3">
      <c r="A4" s="1" t="s">
        <v>75</v>
      </c>
      <c r="C4" s="1" t="s">
        <v>291</v>
      </c>
      <c r="D4" s="3">
        <v>3350</v>
      </c>
      <c r="E4" s="3">
        <v>391749</v>
      </c>
      <c r="F4" s="1" t="s">
        <v>336</v>
      </c>
    </row>
    <row r="5" spans="1:6" x14ac:dyDescent="0.3">
      <c r="A5" s="1" t="s">
        <v>76</v>
      </c>
      <c r="C5" s="1" t="s">
        <v>291</v>
      </c>
      <c r="D5" s="3">
        <v>4510</v>
      </c>
      <c r="E5" s="3">
        <v>231092.40000000002</v>
      </c>
      <c r="F5" s="1" t="s">
        <v>336</v>
      </c>
    </row>
    <row r="6" spans="1:6" x14ac:dyDescent="0.3">
      <c r="A6" s="1" t="s">
        <v>77</v>
      </c>
      <c r="C6" s="1" t="s">
        <v>269</v>
      </c>
      <c r="D6" s="3">
        <v>0</v>
      </c>
      <c r="E6" s="3">
        <v>0</v>
      </c>
    </row>
    <row r="7" spans="1:6" x14ac:dyDescent="0.3">
      <c r="A7" s="1" t="s">
        <v>78</v>
      </c>
      <c r="C7" s="1" t="s">
        <v>269</v>
      </c>
      <c r="D7" s="1">
        <v>0</v>
      </c>
      <c r="E7" s="3">
        <v>0</v>
      </c>
    </row>
    <row r="8" spans="1:6" x14ac:dyDescent="0.3">
      <c r="A8" s="1" t="s">
        <v>79</v>
      </c>
      <c r="C8" s="1" t="s">
        <v>269</v>
      </c>
      <c r="D8" s="3">
        <v>0</v>
      </c>
      <c r="E8" s="3">
        <v>0</v>
      </c>
    </row>
    <row r="9" spans="1:6" x14ac:dyDescent="0.3">
      <c r="A9" s="1" t="s">
        <v>80</v>
      </c>
      <c r="C9" s="1" t="s">
        <v>269</v>
      </c>
      <c r="D9" s="3">
        <v>0</v>
      </c>
      <c r="E9" s="3">
        <v>0</v>
      </c>
    </row>
    <row r="10" spans="1:6" x14ac:dyDescent="0.3">
      <c r="A10" s="1" t="s">
        <v>81</v>
      </c>
      <c r="C10" s="1" t="s">
        <v>291</v>
      </c>
      <c r="D10" s="3">
        <v>460</v>
      </c>
      <c r="E10" s="3">
        <v>79672</v>
      </c>
      <c r="F10" s="1" t="s">
        <v>336</v>
      </c>
    </row>
    <row r="11" spans="1:6" x14ac:dyDescent="0.3">
      <c r="A11" s="1" t="s">
        <v>82</v>
      </c>
      <c r="C11" s="1" t="s">
        <v>269</v>
      </c>
      <c r="D11" s="3">
        <v>0</v>
      </c>
      <c r="E11" s="3">
        <v>0</v>
      </c>
    </row>
    <row r="12" spans="1:6" x14ac:dyDescent="0.3">
      <c r="A12" s="1" t="s">
        <v>83</v>
      </c>
      <c r="C12" s="1" t="s">
        <v>269</v>
      </c>
      <c r="D12" s="3">
        <v>0</v>
      </c>
      <c r="E12" s="3">
        <v>0</v>
      </c>
    </row>
    <row r="13" spans="1:6" x14ac:dyDescent="0.3">
      <c r="A13" s="1" t="s">
        <v>320</v>
      </c>
      <c r="C13" s="1" t="s">
        <v>269</v>
      </c>
      <c r="D13" s="3">
        <v>0</v>
      </c>
      <c r="E13" s="3">
        <v>0</v>
      </c>
    </row>
    <row r="14" spans="1:6" x14ac:dyDescent="0.3">
      <c r="A14" s="1" t="s">
        <v>321</v>
      </c>
      <c r="C14" s="1" t="s">
        <v>291</v>
      </c>
      <c r="D14" s="3">
        <v>10</v>
      </c>
      <c r="E14" s="3">
        <v>5665.4</v>
      </c>
      <c r="F14" s="1" t="s">
        <v>336</v>
      </c>
    </row>
    <row r="15" spans="1:6" x14ac:dyDescent="0.3">
      <c r="A15" s="1" t="s">
        <v>322</v>
      </c>
      <c r="C15" s="1" t="s">
        <v>269</v>
      </c>
      <c r="D15" s="3">
        <v>0</v>
      </c>
      <c r="E15" s="3">
        <v>0</v>
      </c>
    </row>
    <row r="16" spans="1:6" x14ac:dyDescent="0.3">
      <c r="A16" s="1" t="s">
        <v>323</v>
      </c>
      <c r="C16" s="1" t="s">
        <v>269</v>
      </c>
      <c r="D16" s="3">
        <v>0</v>
      </c>
      <c r="E16" s="3">
        <v>0</v>
      </c>
    </row>
    <row r="17" spans="1:6" x14ac:dyDescent="0.3">
      <c r="A17" s="1" t="s">
        <v>324</v>
      </c>
      <c r="C17" s="1" t="s">
        <v>269</v>
      </c>
      <c r="D17" s="3">
        <v>0</v>
      </c>
      <c r="E17" s="3">
        <v>0</v>
      </c>
    </row>
    <row r="18" spans="1:6" x14ac:dyDescent="0.3">
      <c r="A18" s="1" t="s">
        <v>325</v>
      </c>
      <c r="C18" s="1" t="s">
        <v>269</v>
      </c>
      <c r="D18" s="3">
        <v>0</v>
      </c>
      <c r="E18" s="3">
        <v>0</v>
      </c>
    </row>
    <row r="19" spans="1:6" x14ac:dyDescent="0.3">
      <c r="A19" s="1" t="s">
        <v>318</v>
      </c>
      <c r="B19" s="1" t="s">
        <v>316</v>
      </c>
      <c r="C19" s="1" t="s">
        <v>277</v>
      </c>
      <c r="D19" s="3">
        <v>40260</v>
      </c>
      <c r="E19" s="3">
        <v>375000.20463847206</v>
      </c>
      <c r="F19" s="1" t="s">
        <v>335</v>
      </c>
    </row>
    <row r="20" spans="1:6" x14ac:dyDescent="0.3">
      <c r="A20" s="1" t="s">
        <v>326</v>
      </c>
      <c r="C20" s="1" t="s">
        <v>277</v>
      </c>
      <c r="D20" s="3">
        <v>410</v>
      </c>
      <c r="E20" s="3">
        <v>80860.2</v>
      </c>
      <c r="F20" s="1" t="s">
        <v>336</v>
      </c>
    </row>
    <row r="21" spans="1:6" x14ac:dyDescent="0.3">
      <c r="A21" s="1" t="s">
        <v>327</v>
      </c>
      <c r="C21" s="1" t="s">
        <v>269</v>
      </c>
      <c r="D21" s="1">
        <v>0</v>
      </c>
      <c r="E21" s="3">
        <v>0</v>
      </c>
    </row>
    <row r="22" spans="1:6" x14ac:dyDescent="0.3">
      <c r="A22" s="1" t="s">
        <v>328</v>
      </c>
      <c r="C22" s="1" t="s">
        <v>269</v>
      </c>
      <c r="D22" s="1">
        <v>0</v>
      </c>
      <c r="E22" s="3">
        <v>0</v>
      </c>
    </row>
    <row r="23" spans="1:6" x14ac:dyDescent="0.3">
      <c r="A23" s="1" t="s">
        <v>329</v>
      </c>
      <c r="C23" s="1" t="s">
        <v>269</v>
      </c>
      <c r="D23" s="1">
        <v>0</v>
      </c>
      <c r="E23" s="3">
        <v>0</v>
      </c>
    </row>
    <row r="24" spans="1:6" x14ac:dyDescent="0.3">
      <c r="A24" s="1" t="s">
        <v>330</v>
      </c>
      <c r="C24" s="1" t="s">
        <v>269</v>
      </c>
      <c r="D24" s="1">
        <v>0</v>
      </c>
      <c r="E24" s="3">
        <v>0</v>
      </c>
    </row>
    <row r="25" spans="1:6" x14ac:dyDescent="0.3">
      <c r="A25" s="1" t="s">
        <v>331</v>
      </c>
      <c r="C25" s="1" t="s">
        <v>291</v>
      </c>
      <c r="D25" s="3">
        <v>3380</v>
      </c>
      <c r="E25" s="3">
        <v>220545</v>
      </c>
      <c r="F25" s="1" t="s">
        <v>336</v>
      </c>
    </row>
    <row r="26" spans="1:6" x14ac:dyDescent="0.3">
      <c r="A26" s="1" t="s">
        <v>332</v>
      </c>
      <c r="C26" s="1" t="s">
        <v>277</v>
      </c>
      <c r="D26" s="3">
        <v>17720</v>
      </c>
      <c r="E26" s="3">
        <v>374955.2</v>
      </c>
      <c r="F26" s="1" t="s">
        <v>336</v>
      </c>
    </row>
    <row r="27" spans="1:6" x14ac:dyDescent="0.3">
      <c r="A27" s="1" t="s">
        <v>333</v>
      </c>
      <c r="C27" s="1" t="s">
        <v>269</v>
      </c>
      <c r="D27" s="1">
        <v>0</v>
      </c>
      <c r="E27" s="3">
        <v>0</v>
      </c>
    </row>
    <row r="28" spans="1:6" x14ac:dyDescent="0.3">
      <c r="A28" s="1" t="s">
        <v>87</v>
      </c>
      <c r="C28" s="1" t="s">
        <v>269</v>
      </c>
      <c r="D28" s="1">
        <v>0</v>
      </c>
      <c r="E28" s="3">
        <v>0</v>
      </c>
    </row>
    <row r="29" spans="1:6" x14ac:dyDescent="0.3">
      <c r="A29" s="1" t="s">
        <v>85</v>
      </c>
      <c r="C29" s="1" t="s">
        <v>291</v>
      </c>
      <c r="D29" s="3">
        <v>60</v>
      </c>
      <c r="E29" s="3">
        <v>11412</v>
      </c>
      <c r="F29" s="1" t="s">
        <v>336</v>
      </c>
    </row>
    <row r="30" spans="1:6" x14ac:dyDescent="0.3">
      <c r="A30" s="1" t="s">
        <v>86</v>
      </c>
      <c r="C30" s="1" t="s">
        <v>291</v>
      </c>
      <c r="D30" s="3">
        <v>4700</v>
      </c>
      <c r="E30" s="3">
        <v>433434</v>
      </c>
      <c r="F30" s="1" t="s">
        <v>336</v>
      </c>
    </row>
    <row r="31" spans="1:6" x14ac:dyDescent="0.3">
      <c r="A31" s="1" t="s">
        <v>84</v>
      </c>
      <c r="C31" s="1" t="s">
        <v>291</v>
      </c>
      <c r="D31" s="3">
        <v>7060</v>
      </c>
      <c r="E31" s="3">
        <v>411739.2</v>
      </c>
      <c r="F31" s="1" t="s">
        <v>336</v>
      </c>
    </row>
    <row r="32" spans="1:6" x14ac:dyDescent="0.3">
      <c r="A32" s="1" t="s">
        <v>88</v>
      </c>
      <c r="C32" s="1" t="s">
        <v>277</v>
      </c>
      <c r="D32" s="3">
        <v>30</v>
      </c>
      <c r="E32" s="3">
        <v>1750.2</v>
      </c>
      <c r="F32" s="1" t="s">
        <v>336</v>
      </c>
    </row>
    <row r="33" spans="1:6" x14ac:dyDescent="0.3">
      <c r="A33" s="1" t="s">
        <v>89</v>
      </c>
      <c r="C33" s="1" t="s">
        <v>277</v>
      </c>
      <c r="D33" s="3">
        <v>110</v>
      </c>
      <c r="E33" s="3">
        <v>6516.4000000000005</v>
      </c>
      <c r="F33" s="1" t="s">
        <v>336</v>
      </c>
    </row>
    <row r="34" spans="1:6" x14ac:dyDescent="0.3">
      <c r="A34" s="1" t="s">
        <v>90</v>
      </c>
      <c r="C34" s="1" t="s">
        <v>269</v>
      </c>
      <c r="D34" s="1">
        <v>0</v>
      </c>
      <c r="E34" s="3">
        <v>0</v>
      </c>
    </row>
    <row r="35" spans="1:6" x14ac:dyDescent="0.3">
      <c r="A35" s="1" t="s">
        <v>91</v>
      </c>
      <c r="C35" s="1" t="s">
        <v>269</v>
      </c>
      <c r="D35" s="1">
        <v>0</v>
      </c>
      <c r="E35" s="3">
        <v>0</v>
      </c>
    </row>
    <row r="36" spans="1:6" x14ac:dyDescent="0.3">
      <c r="A36" s="1" t="s">
        <v>92</v>
      </c>
      <c r="C36" s="1" t="s">
        <v>269</v>
      </c>
      <c r="D36" s="1">
        <v>0</v>
      </c>
      <c r="E36" s="3">
        <v>0</v>
      </c>
    </row>
    <row r="37" spans="1:6" x14ac:dyDescent="0.3">
      <c r="A37" s="1" t="s">
        <v>93</v>
      </c>
      <c r="C37" s="1" t="s">
        <v>291</v>
      </c>
      <c r="D37" s="3">
        <v>4280</v>
      </c>
      <c r="E37" s="3">
        <v>380363.60000000003</v>
      </c>
      <c r="F37" s="1" t="s">
        <v>336</v>
      </c>
    </row>
    <row r="38" spans="1:6" x14ac:dyDescent="0.3">
      <c r="A38" s="1" t="s">
        <v>94</v>
      </c>
      <c r="C38" s="1" t="s">
        <v>291</v>
      </c>
      <c r="D38" s="3">
        <v>4590</v>
      </c>
      <c r="E38" s="3">
        <v>135313.20000000001</v>
      </c>
      <c r="F38" s="1" t="s">
        <v>336</v>
      </c>
    </row>
    <row r="39" spans="1:6" x14ac:dyDescent="0.3">
      <c r="A39" s="1" t="s">
        <v>334</v>
      </c>
      <c r="C39" s="1" t="s">
        <v>269</v>
      </c>
      <c r="D39" s="1">
        <v>0</v>
      </c>
      <c r="E39" s="3">
        <v>0</v>
      </c>
    </row>
    <row r="40" spans="1:6" x14ac:dyDescent="0.3">
      <c r="A40" s="1" t="s">
        <v>96</v>
      </c>
      <c r="C40" s="1" t="s">
        <v>269</v>
      </c>
      <c r="D40" s="1">
        <v>0</v>
      </c>
      <c r="E40" s="3">
        <v>0</v>
      </c>
    </row>
  </sheetData>
  <autoFilter ref="A1:F40" xr:uid="{A89585A0-6755-4267-93A9-9081E3ED89F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9518-AE86-4B1A-95AD-08DF30354D94}">
  <sheetPr codeName="Sheet3"/>
  <dimension ref="I1:I11"/>
  <sheetViews>
    <sheetView workbookViewId="0">
      <selection activeCell="F29" sqref="F29"/>
    </sheetView>
  </sheetViews>
  <sheetFormatPr defaultRowHeight="16.5" x14ac:dyDescent="0.3"/>
  <sheetData>
    <row r="1" spans="9:9" x14ac:dyDescent="0.3">
      <c r="I1" t="s">
        <v>259</v>
      </c>
    </row>
    <row r="2" spans="9:9" x14ac:dyDescent="0.3">
      <c r="I2" t="s">
        <v>260</v>
      </c>
    </row>
    <row r="3" spans="9:9" x14ac:dyDescent="0.3">
      <c r="I3" t="s">
        <v>261</v>
      </c>
    </row>
    <row r="4" spans="9:9" x14ac:dyDescent="0.3">
      <c r="I4" t="s">
        <v>262</v>
      </c>
    </row>
    <row r="5" spans="9:9" x14ac:dyDescent="0.3">
      <c r="I5" t="s">
        <v>263</v>
      </c>
    </row>
    <row r="6" spans="9:9" x14ac:dyDescent="0.3">
      <c r="I6" t="s">
        <v>264</v>
      </c>
    </row>
    <row r="7" spans="9:9" x14ac:dyDescent="0.3">
      <c r="I7" t="s">
        <v>265</v>
      </c>
    </row>
    <row r="8" spans="9:9" x14ac:dyDescent="0.3">
      <c r="I8" t="s">
        <v>266</v>
      </c>
    </row>
    <row r="9" spans="9:9" x14ac:dyDescent="0.3">
      <c r="I9" t="s">
        <v>267</v>
      </c>
    </row>
    <row r="10" spans="9:9" x14ac:dyDescent="0.3">
      <c r="I10" t="s">
        <v>268</v>
      </c>
    </row>
    <row r="11" spans="9:9" x14ac:dyDescent="0.3">
      <c r="I11" t="s">
        <v>271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631-A1D7-4E4D-8B35-F2C0E89224B6}">
  <sheetPr codeName="Sheet4"/>
  <dimension ref="F8:K26"/>
  <sheetViews>
    <sheetView workbookViewId="0">
      <selection activeCell="I9" sqref="I9"/>
    </sheetView>
  </sheetViews>
  <sheetFormatPr defaultRowHeight="16.5" x14ac:dyDescent="0.3"/>
  <cols>
    <col min="7" max="7" width="17.75" customWidth="1"/>
    <col min="8" max="8" width="20" customWidth="1"/>
    <col min="9" max="9" width="21.125" customWidth="1"/>
    <col min="10" max="10" width="11.25" customWidth="1"/>
  </cols>
  <sheetData>
    <row r="8" spans="6:10" x14ac:dyDescent="0.3">
      <c r="G8" s="1" t="s">
        <v>292</v>
      </c>
      <c r="H8" s="1" t="s">
        <v>6</v>
      </c>
      <c r="I8" s="1" t="s">
        <v>7</v>
      </c>
      <c r="J8" s="1" t="s">
        <v>293</v>
      </c>
    </row>
    <row r="9" spans="6:10" x14ac:dyDescent="0.3">
      <c r="G9" s="1" t="s">
        <v>339</v>
      </c>
      <c r="H9" s="3">
        <f>_xll.BDP(G9,"CUR_MKT_CAP")/1000000</f>
        <v>194.20802307128906</v>
      </c>
      <c r="I9" s="3">
        <f>_xll.BDP(G9, "INTERVAL_AVG", "MARKET_DATA_OVERRIDE=TURNOVER", "PERIODICITY_OVERRIDE=D","CALC_INTERVAL=2M")/1000000</f>
        <v>6.9117364275000011</v>
      </c>
      <c r="J9" s="1" t="str">
        <f>_xll.BDP(G9,"FUND_INCEPT_DT")</f>
        <v>2017-03-30</v>
      </c>
    </row>
    <row r="10" spans="6:10" x14ac:dyDescent="0.3">
      <c r="G10" s="1" t="s">
        <v>340</v>
      </c>
      <c r="H10" s="3">
        <f>_xll.BDP(G10,"CUR_MKT_CAP")/1000000</f>
        <v>1089.94921875</v>
      </c>
      <c r="I10" s="3">
        <f>_xll.BDP(G10, "INTERVAL_AVG", "MARKET_DATA_OVERRIDE=TURNOVER", "PERIODICITY_OVERRIDE=D","CALC_INTERVAL=2M")/1000000</f>
        <v>15.768474174999994</v>
      </c>
      <c r="J10" s="1" t="str">
        <f>_xll.BDP(G10,"FUND_INCEPT_DT")</f>
        <v>2014-10-16</v>
      </c>
    </row>
    <row r="11" spans="6:10" x14ac:dyDescent="0.3">
      <c r="F11" t="s">
        <v>295</v>
      </c>
      <c r="G11" s="1" t="s">
        <v>294</v>
      </c>
      <c r="H11" s="3">
        <f>_xll.BDP(G11,"CUR_MKT_CAP")/1000000</f>
        <v>22088.115234375</v>
      </c>
      <c r="I11" s="3">
        <f>_xll.BDP(G11, "INTERVAL_AVG", "MARKET_DATA_OVERRIDE=TURNOVER", "PERIODICITY_OVERRIDE=D","CALC_INTERVAL=2M")/1000000</f>
        <v>3122.2783750000003</v>
      </c>
      <c r="J11" s="1" t="str">
        <f>_xll.BDP(G11,"FUND_INCEPT_DT")</f>
        <v>2026-04-02</v>
      </c>
    </row>
    <row r="12" spans="6:10" x14ac:dyDescent="0.3">
      <c r="G12" s="1" t="s">
        <v>338</v>
      </c>
      <c r="H12" s="3">
        <f>_xll.BDP(G12,"CUR_MKT_CAP")/1000000</f>
        <v>762.639892578125</v>
      </c>
      <c r="I12" s="3">
        <f>_xll.BDP(G12, "INTERVAL_AVG", "MARKET_DATA_OVERRIDE=TURNOVER", "PERIODICITY_OVERRIDE=D","CALC_INTERVAL=2M")/1000000</f>
        <v>17.736214749999998</v>
      </c>
      <c r="J12" s="1" t="str">
        <f>_xll.BDP(G12,"FUND_INCEPT_DT")</f>
        <v>2024-12-04</v>
      </c>
    </row>
    <row r="13" spans="6:10" x14ac:dyDescent="0.3">
      <c r="G13" s="1" t="s">
        <v>296</v>
      </c>
      <c r="H13" s="3">
        <f>_xll.BDP(G13,"CUR_MKT_CAP")/1000000</f>
        <v>14265.2119140625</v>
      </c>
      <c r="I13" s="3">
        <f>_xll.BDP(G13, "INTERVAL_AVG", "MARKET_DATA_OVERRIDE=TURNOVER", "PERIODICITY_OVERRIDE=D","CALC_INTERVAL=2M")/1000000</f>
        <v>102.34803924999999</v>
      </c>
      <c r="J13" s="1" t="str">
        <f>_xll.BDP(G13,"FUND_INCEPT_DT")</f>
        <v>2017-03-08</v>
      </c>
    </row>
    <row r="14" spans="6:10" x14ac:dyDescent="0.3">
      <c r="G14" s="1" t="s">
        <v>303</v>
      </c>
      <c r="H14" s="3" t="e">
        <f>_xll.BDP(G14,"CUR_MKT_CAP")/1000000</f>
        <v>#VALUE!</v>
      </c>
      <c r="I14" s="3" t="e">
        <f>_xll.BDP(G14, "INTERVAL_AVG", "MARKET_DATA_OVERRIDE=TURNOVER", "PERIODICITY_OVERRIDE=D","CALC_INTERVAL=2M")/1000000</f>
        <v>#VALUE!</v>
      </c>
      <c r="J14" s="1" t="str">
        <f>_xll.BDP(G14,"FUND_INCEPT_DT")</f>
        <v>2019-02-07</v>
      </c>
    </row>
    <row r="17" spans="7:11" x14ac:dyDescent="0.3">
      <c r="H17" t="s">
        <v>310</v>
      </c>
      <c r="I17" t="s">
        <v>306</v>
      </c>
    </row>
    <row r="19" spans="7:11" x14ac:dyDescent="0.3">
      <c r="H19" t="s">
        <v>304</v>
      </c>
      <c r="I19" t="s">
        <v>306</v>
      </c>
    </row>
    <row r="20" spans="7:11" x14ac:dyDescent="0.3">
      <c r="H20" t="s">
        <v>305</v>
      </c>
      <c r="I20" t="s">
        <v>307</v>
      </c>
    </row>
    <row r="21" spans="7:11" x14ac:dyDescent="0.3">
      <c r="G21" t="s">
        <v>308</v>
      </c>
      <c r="H21" s="71">
        <f>_xll.BDP($G21,H$20)/1000000</f>
        <v>42105.890625</v>
      </c>
      <c r="I21" s="71">
        <f>_xll.BDP($G21,I$20)</f>
        <v>42131.760446800006</v>
      </c>
      <c r="K21" s="72"/>
    </row>
    <row r="22" spans="7:11" x14ac:dyDescent="0.3">
      <c r="G22" t="s">
        <v>309</v>
      </c>
      <c r="H22" s="71">
        <f>_xll.BDP($G22,H$20)/1000000</f>
        <v>885093.3125</v>
      </c>
      <c r="I22" s="71">
        <f>_xll.BDP($G22,I$20)</f>
        <v>885833.10762119992</v>
      </c>
      <c r="K22" s="72"/>
    </row>
    <row r="23" spans="7:11" x14ac:dyDescent="0.3">
      <c r="G23" t="s">
        <v>311</v>
      </c>
      <c r="H23" s="71">
        <f>_xll.BDP($G23,H$20)/1000000</f>
        <v>14747.787109375</v>
      </c>
      <c r="I23" s="71">
        <f>_xll.BDP($G23,I$20)</f>
        <v>14724.491862520001</v>
      </c>
      <c r="K23" s="72"/>
    </row>
    <row r="24" spans="7:11" x14ac:dyDescent="0.3">
      <c r="G24" t="s">
        <v>312</v>
      </c>
      <c r="H24" s="71">
        <f>_xll.BDP($G24,H$20)/1000000</f>
        <v>17536.19921875</v>
      </c>
      <c r="I24" s="71">
        <f>_xll.BDP($G24,I$20)</f>
        <v>17515.393499999998</v>
      </c>
      <c r="K24" s="72"/>
    </row>
    <row r="25" spans="7:11" x14ac:dyDescent="0.3">
      <c r="G25" t="s">
        <v>313</v>
      </c>
      <c r="H25" s="71">
        <f>_xll.BDP($G25,H$20)/1000000</f>
        <v>47116.47265625</v>
      </c>
      <c r="I25" s="71">
        <f>_xll.BDP($G25,I$20)</f>
        <v>47105.075840999998</v>
      </c>
    </row>
    <row r="26" spans="7:11" x14ac:dyDescent="0.3">
      <c r="G26" t="s">
        <v>314</v>
      </c>
      <c r="H26" s="71">
        <f>_xll.BDP($G26,H$20)/1000000</f>
        <v>1478.062744140625</v>
      </c>
      <c r="I26" s="71">
        <f>_xll.BDP($G26,I$20)</f>
        <v>1357.8445189500001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후보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2026-02-22T23:38:44Z</dcterms:created>
  <dcterms:modified xsi:type="dcterms:W3CDTF">2026-07-05T23:45:51Z</dcterms:modified>
</cp:coreProperties>
</file>